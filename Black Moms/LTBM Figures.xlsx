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barnard-mayers/Documents/2025-2026/LTM/Listening-to-Mothers/Black Moms/"/>
    </mc:Choice>
  </mc:AlternateContent>
  <xr:revisionPtr revIDLastSave="0" documentId="13_ncr:1_{BBA22C98-21E1-F341-ACFF-DA0DE6F432B2}" xr6:coauthVersionLast="47" xr6:coauthVersionMax="47" xr10:uidLastSave="{00000000-0000-0000-0000-000000000000}"/>
  <bookViews>
    <workbookView xWindow="9220" yWindow="660" windowWidth="20180" windowHeight="17160" activeTab="1" xr2:uid="{719C6D06-E146-C449-B7AA-A19FDDB9A185}"/>
  </bookViews>
  <sheets>
    <sheet name="RaceTotals" sheetId="1" r:id="rId1"/>
    <sheet name="Figure 1" sheetId="2" r:id="rId2"/>
    <sheet name="Sheet7" sheetId="7" r:id="rId3"/>
    <sheet name="Figure 2" sheetId="3" r:id="rId4"/>
    <sheet name="Figure 3" sheetId="4" r:id="rId5"/>
    <sheet name="Figure 4" sheetId="6" r:id="rId6"/>
    <sheet name="Figure 5" sheetId="5" r:id="rId7"/>
  </sheets>
  <definedNames>
    <definedName name="_xlnm._FilterDatabase" localSheetId="6" hidden="1">'Figure 5'!$A$3:$B$13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E9" i="1" s="1"/>
  <c r="E10" i="1" s="1"/>
  <c r="D8" i="1"/>
  <c r="D28" i="1"/>
  <c r="C28" i="1"/>
  <c r="E22" i="1"/>
  <c r="D22" i="1"/>
  <c r="C22" i="1"/>
  <c r="D16" i="1"/>
  <c r="C16" i="1"/>
  <c r="D10" i="1"/>
  <c r="C10" i="1"/>
  <c r="B28" i="1"/>
  <c r="B22" i="1"/>
  <c r="B16" i="1"/>
  <c r="B10" i="1"/>
  <c r="E27" i="1"/>
  <c r="E28" i="1" s="1"/>
  <c r="E26" i="1"/>
  <c r="E21" i="1"/>
  <c r="E20" i="1"/>
  <c r="E15" i="1"/>
  <c r="E16" i="1" s="1"/>
  <c r="E14" i="1"/>
  <c r="E8" i="1"/>
  <c r="E4" i="1"/>
  <c r="E3" i="1"/>
  <c r="E2" i="1"/>
  <c r="D4" i="1"/>
  <c r="C4" i="1"/>
  <c r="B4" i="1"/>
</calcChain>
</file>

<file path=xl/sharedStrings.xml><?xml version="1.0" encoding="utf-8"?>
<sst xmlns="http://schemas.openxmlformats.org/spreadsheetml/2006/main" count="135" uniqueCount="78">
  <si>
    <t>Q1</t>
  </si>
  <si>
    <t>Q2</t>
  </si>
  <si>
    <t>Any Black</t>
  </si>
  <si>
    <t>Black Alone</t>
  </si>
  <si>
    <t>Total</t>
  </si>
  <si>
    <t>Black in Combination</t>
  </si>
  <si>
    <t>AIAN in Combination</t>
  </si>
  <si>
    <t>Any Asian</t>
  </si>
  <si>
    <t>Asian Alone</t>
  </si>
  <si>
    <t>Asian in Combination</t>
  </si>
  <si>
    <t>Any White</t>
  </si>
  <si>
    <t>White Alone</t>
  </si>
  <si>
    <t>White in Combination</t>
  </si>
  <si>
    <t>Any AIAN/NHPI</t>
  </si>
  <si>
    <t>AIAN-NHPI Alone</t>
  </si>
  <si>
    <t>Latina</t>
  </si>
  <si>
    <t>Any Latina</t>
  </si>
  <si>
    <t>Latina Alone</t>
  </si>
  <si>
    <t>Latina in Combination</t>
  </si>
  <si>
    <t>Total Questionnaire Sample Size</t>
  </si>
  <si>
    <t>A multiple bar graph showing views on a future birth at a birth center outside of a hospital, at home, and supported by a doula by race/ethnicity. Showing results for “definitely would not want."</t>
  </si>
  <si>
    <t>Black respondents’ frequency of experience of five major interventions when giving birth.</t>
  </si>
  <si>
    <t xml:space="preserve"> A bar graph, like Figure 3.33, but with two bars showing Black alone compared to Black in combination respondents who did not always receive person-centered maternity care, per PCMC-US scale.</t>
  </si>
  <si>
    <t>percentage of unmet social needs during pregnancy experienced by Black moms.</t>
  </si>
  <si>
    <t>Multiple bar graph, displaying the rate of reported symptoms of depression and anxiety pre-pregnancy, during pregnancy, and postpartum across 5 racial groups: White alone, White+Black, Black in combination (no White), and Black alone.</t>
  </si>
  <si>
    <t>Anxiety</t>
  </si>
  <si>
    <t>Pre-pregnancy</t>
  </si>
  <si>
    <t>Pregnancy</t>
  </si>
  <si>
    <t>Postpartum</t>
  </si>
  <si>
    <t>Depression</t>
  </si>
  <si>
    <t>White + Black</t>
  </si>
  <si>
    <t>Black in Combination (no white)</t>
  </si>
  <si>
    <t>Black alone</t>
  </si>
  <si>
    <t>    0</t>
  </si>
  <si>
    <t>    1</t>
  </si>
  <si>
    <t>    2</t>
  </si>
  <si>
    <t>    3</t>
  </si>
  <si>
    <t>    4</t>
  </si>
  <si>
    <t>Unweighted N</t>
  </si>
  <si>
    <t>Weighted %</t>
  </si>
  <si>
    <t>Did your providers treat you with respect?</t>
  </si>
  <si>
    <t>Did you feel your experience and knowledge were valued?</t>
  </si>
  <si>
    <t>Did you feel heard and listened to by your providers?</t>
  </si>
  <si>
    <t>Did your providers involve you in decisions about your care?</t>
  </si>
  <si>
    <t>Did your providers or other staff ask your permission/consent before touching or doing procedures on you?</t>
  </si>
  <si>
    <t>Did you feel informed about what was happening to you during your childbirth?</t>
  </si>
  <si>
    <t>Did you feel you could completely trust your providers with regards to your care?</t>
  </si>
  <si>
    <t>Did you receive the support you needed (e.g., lactation support) to reach your feeding goals for your baby?</t>
  </si>
  <si>
    <t>In general, did you feel physically safe in the place you gave birth?</t>
  </si>
  <si>
    <t>Did you feel your providers responded in a timely manner when you requested assistance?</t>
  </si>
  <si>
    <r>
      <t xml:space="preserve">Would you say that you were </t>
    </r>
    <r>
      <rPr>
        <b/>
        <sz val="14"/>
        <color rgb="FF333333"/>
        <rFont val="Helvetica"/>
        <family val="2"/>
      </rPr>
      <t>not</t>
    </r>
    <r>
      <rPr>
        <sz val="14"/>
        <color rgb="FF333333"/>
        <rFont val="Helvetica"/>
        <family val="2"/>
      </rPr>
      <t xml:space="preserve"> discriminated against?</t>
    </r>
  </si>
  <si>
    <r>
      <t xml:space="preserve">Did you feel your providers </t>
    </r>
    <r>
      <rPr>
        <b/>
        <sz val="14"/>
        <color rgb="FF333333"/>
        <rFont val="Helvetica"/>
        <family val="2"/>
      </rPr>
      <t xml:space="preserve">did not </t>
    </r>
    <r>
      <rPr>
        <sz val="14"/>
        <color rgb="FF333333"/>
        <rFont val="Helvetica"/>
        <family val="2"/>
      </rPr>
      <t>avoid, ignore, or otherwise neglect you?</t>
    </r>
  </si>
  <si>
    <t>    You or others you lived with ate smaller meals or skipped meals because you didn’t have enough money for food</t>
  </si>
  <si>
    <t>    You were homeless or worried you might become homeless in the future</t>
  </si>
  <si>
    <t>    You had trouble paying for your utilities (gas, electric, phone)</t>
  </si>
  <si>
    <t>    You had trouble finding or paying for a ride/transportation</t>
  </si>
  <si>
    <t>    You needed daycare, or better daycare, for your kids</t>
  </si>
  <si>
    <t>    You were unemployed or without regular income</t>
  </si>
  <si>
    <t>    You were concerned about someone in your home using drugs or alcohol</t>
  </si>
  <si>
    <t>    You felt unsafe in your daily life</t>
  </si>
  <si>
    <t>    Someone in your home was threatening or abusing you</t>
  </si>
  <si>
    <t>    None of the above</t>
  </si>
  <si>
    <t>Bases</t>
  </si>
  <si>
    <t>Base: 1091</t>
  </si>
  <si>
    <t>Black in Combination (includes white)</t>
  </si>
  <si>
    <t>AIAN-NHPI</t>
  </si>
  <si>
    <t>Asian</t>
  </si>
  <si>
    <t>Black</t>
  </si>
  <si>
    <t>Multi</t>
  </si>
  <si>
    <t>White</t>
  </si>
  <si>
    <t>Having a midwife as your provider for pregnancy, childbirth and postpartum care (with doctor care if needed)</t>
  </si>
  <si>
    <t>Giving birth in a birth center that is separate from a hospital (with hospital care if needed)</t>
  </si>
  <si>
    <t>Giving birth at home (with hospital care if needed)</t>
  </si>
  <si>
    <t>Having the support of a doula (trained labor companion) while you are giving birth</t>
  </si>
  <si>
    <t>p &lt; 0.05 for birth center comparing AIAN-NHPI with Latina and White</t>
  </si>
  <si>
    <t>p &lt; 0.05 for home birth comparing Multi with White, Latina, and Asian</t>
  </si>
  <si>
    <t>p &lt; 0.05 for home birth comparing AIAN-NHPI with Asian and White</t>
  </si>
  <si>
    <t>p &lt; 0.05 for home birth comparing Asian with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</si>
</sst>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rgb="FF333333"/>
      <name val="Helvetica"/>
      <family val="2"/>
    </font>
    <font>
      <b/>
      <sz val="16"/>
      <color rgb="FF333333"/>
      <name val="Helvetica"/>
      <family val="2"/>
    </font>
    <font>
      <sz val="14"/>
      <color rgb="FF333333"/>
      <name val="Helvetica"/>
      <family val="2"/>
    </font>
    <font>
      <i/>
      <vertAlign val="superscript"/>
      <sz val="11"/>
      <color rgb="FF333333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b/>
      <sz val="14"/>
      <color rgb="FF333333"/>
      <name val="Helvetica"/>
      <family val="2"/>
    </font>
    <font>
      <sz val="12"/>
      <color theme="1"/>
      <name val="Aptos"/>
    </font>
    <font>
      <b/>
      <sz val="12"/>
      <color rgb="FF333333"/>
      <name val="Aptos"/>
    </font>
    <font>
      <sz val="12"/>
      <color rgb="FF333333"/>
      <name val="Aptos"/>
    </font>
    <font>
      <i/>
      <vertAlign val="superscript"/>
      <sz val="12"/>
      <color rgb="FF333333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0" fontId="0" fillId="0" borderId="0" xfId="0" applyNumberFormat="1"/>
    <xf numFmtId="0" fontId="2" fillId="0" borderId="0" xfId="0" applyFont="1" applyAlignment="1">
      <alignment horizontal="center"/>
    </xf>
    <xf numFmtId="10" fontId="5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" fillId="0" borderId="0" xfId="0" applyFont="1"/>
    <xf numFmtId="9" fontId="7" fillId="0" borderId="0" xfId="0" applyNumberFormat="1" applyFont="1"/>
    <xf numFmtId="9" fontId="10" fillId="0" borderId="0" xfId="0" applyNumberFormat="1" applyFont="1"/>
    <xf numFmtId="9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0" xfId="0" applyFont="1" applyAlignment="1"/>
    <xf numFmtId="4" fontId="5" fillId="0" borderId="0" xfId="0" applyNumberFormat="1" applyFont="1"/>
    <xf numFmtId="9" fontId="5" fillId="0" borderId="0" xfId="0" applyNumberFormat="1" applyFont="1"/>
    <xf numFmtId="0" fontId="11" fillId="0" borderId="0" xfId="0" applyFont="1"/>
    <xf numFmtId="0" fontId="12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10" fontId="14" fillId="0" borderId="0" xfId="0" applyNumberFormat="1" applyFont="1"/>
    <xf numFmtId="0" fontId="13" fillId="0" borderId="0" xfId="0" applyFont="1" applyAlignment="1"/>
    <xf numFmtId="0" fontId="15" fillId="0" borderId="0" xfId="0" applyFont="1"/>
    <xf numFmtId="1" fontId="12" fillId="0" borderId="0" xfId="0" applyNumberFormat="1" applyFont="1"/>
    <xf numFmtId="9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'Figure 1'!$A$5</c:f>
              <c:strCache>
                <c:ptCount val="1"/>
                <c:pt idx="0">
                  <c:v>Any 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1'!$B$4:$E$4</c:f>
              <c:strCache>
                <c:ptCount val="4"/>
                <c:pt idx="0">
                  <c:v>Having a midwife as your provider for pregnancy, childbirth and postpartum care (with doctor care if needed)</c:v>
                </c:pt>
                <c:pt idx="1">
                  <c:v>Giving birth in a birth center that is separate from a hospital (with hospital care if needed)</c:v>
                </c:pt>
                <c:pt idx="2">
                  <c:v>Giving birth at home (with hospital care if needed)</c:v>
                </c:pt>
                <c:pt idx="3">
                  <c:v>Having the support of a doula (trained labor companion) while you are giving birth</c:v>
                </c:pt>
              </c:strCache>
            </c:strRef>
          </c:cat>
          <c:val>
            <c:numRef>
              <c:f>'Figure 1'!$B$5:$E$5</c:f>
              <c:numCache>
                <c:formatCode>0</c:formatCode>
                <c:ptCount val="4"/>
                <c:pt idx="0">
                  <c:v>15.72</c:v>
                </c:pt>
                <c:pt idx="1">
                  <c:v>26.479999999999997</c:v>
                </c:pt>
                <c:pt idx="2">
                  <c:v>40.375999999999998</c:v>
                </c:pt>
                <c:pt idx="3">
                  <c:v>16.408000000000001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0-C541-A5D8-D57A552E13CF}"/>
            </c:ext>
          </c:extLst>
        </c:ser>
        <c:ser>
          <c:idx val="1"/>
          <c:order val="1"/>
          <c:tx>
            <c:strRef>
              <c:f>'Figure 1'!$A$6</c:f>
              <c:strCache>
                <c:ptCount val="1"/>
                <c:pt idx="0">
                  <c:v>Black Alone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1'!$B$4:$E$4</c:f>
              <c:strCache>
                <c:ptCount val="4"/>
                <c:pt idx="0">
                  <c:v>Having a midwife as your provider for pregnancy, childbirth and postpartum care (with doctor care if needed)</c:v>
                </c:pt>
                <c:pt idx="1">
                  <c:v>Giving birth in a birth center that is separate from a hospital (with hospital care if needed)</c:v>
                </c:pt>
                <c:pt idx="2">
                  <c:v>Giving birth at home (with hospital care if needed)</c:v>
                </c:pt>
                <c:pt idx="3">
                  <c:v>Having the support of a doula (trained labor companion) while you are giving birth</c:v>
                </c:pt>
              </c:strCache>
            </c:strRef>
          </c:cat>
          <c:val>
            <c:numRef>
              <c:f>'Figure 1'!$B$6:$E$6</c:f>
              <c:numCache>
                <c:formatCode>0</c:formatCode>
                <c:ptCount val="4"/>
                <c:pt idx="0">
                  <c:v>18.289000000000001</c:v>
                </c:pt>
                <c:pt idx="1">
                  <c:v>29.04</c:v>
                </c:pt>
                <c:pt idx="2">
                  <c:v>42.337000000000003</c:v>
                </c:pt>
                <c:pt idx="3">
                  <c:v>18.451000000000001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0-C541-A5D8-D57A552E13CF}"/>
            </c:ext>
          </c:extLst>
        </c:ser>
        <c:ser>
          <c:idx val="2"/>
          <c:order val="2"/>
          <c:tx>
            <c:strRef>
              <c:f>'Figure 1'!$A$7</c:f>
              <c:strCache>
                <c:ptCount val="1"/>
                <c:pt idx="0">
                  <c:v>Black in Combination (includes white)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1'!$B$4:$E$4</c:f>
              <c:strCache>
                <c:ptCount val="4"/>
                <c:pt idx="0">
                  <c:v>Having a midwife as your provider for pregnancy, childbirth and postpartum care (with doctor care if needed)</c:v>
                </c:pt>
                <c:pt idx="1">
                  <c:v>Giving birth in a birth center that is separate from a hospital (with hospital care if needed)</c:v>
                </c:pt>
                <c:pt idx="2">
                  <c:v>Giving birth at home (with hospital care if needed)</c:v>
                </c:pt>
                <c:pt idx="3">
                  <c:v>Having the support of a doula (trained labor companion) while you are giving birth</c:v>
                </c:pt>
              </c:strCache>
            </c:strRef>
          </c:cat>
          <c:val>
            <c:numRef>
              <c:f>'Figure 1'!$B$7:$E$7</c:f>
              <c:numCache>
                <c:formatCode>0</c:formatCode>
                <c:ptCount val="4"/>
                <c:pt idx="0">
                  <c:v>6.968</c:v>
                </c:pt>
                <c:pt idx="1">
                  <c:v>17.783000000000001</c:v>
                </c:pt>
                <c:pt idx="2">
                  <c:v>33.713000000000001</c:v>
                </c:pt>
                <c:pt idx="3">
                  <c:v>9.468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A0-C541-A5D8-D57A552E13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844928"/>
        <c:axId val="166786176"/>
      </c:barChart>
      <c:catAx>
        <c:axId val="2078449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86176"/>
        <c:crosses val="autoZero"/>
        <c:auto val="1"/>
        <c:lblAlgn val="ctr"/>
        <c:lblOffset val="100"/>
        <c:noMultiLvlLbl val="0"/>
      </c:catAx>
      <c:valAx>
        <c:axId val="166786176"/>
        <c:scaling>
          <c:orientation val="minMax"/>
        </c:scaling>
        <c:delete val="1"/>
        <c:axPos val="t"/>
        <c:numFmt formatCode="0" sourceLinked="1"/>
        <c:majorTickMark val="none"/>
        <c:minorTickMark val="none"/>
        <c:tickLblPos val="nextTo"/>
        <c:crossAx val="20784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'Figure 1'!$A$10</c:f>
              <c:strCache>
                <c:ptCount val="1"/>
                <c:pt idx="0">
                  <c:v>AIAN-NHPI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1'!$B$9:$E$9</c:f>
              <c:strCache>
                <c:ptCount val="4"/>
                <c:pt idx="0">
                  <c:v>Having a midwife as your provider for pregnancy, childbirth and postpartum care (with doctor care if needed)</c:v>
                </c:pt>
                <c:pt idx="1">
                  <c:v>Giving birth in a birth center that is separate from a hospital (with hospital care if needed)</c:v>
                </c:pt>
                <c:pt idx="2">
                  <c:v>Giving birth at home (with hospital care if needed)</c:v>
                </c:pt>
                <c:pt idx="3">
                  <c:v>Having the support of a doula (trained labor companion) while you are giving birth</c:v>
                </c:pt>
              </c:strCache>
            </c:strRef>
          </c:cat>
          <c:val>
            <c:numRef>
              <c:f>'Figure 1'!$B$10:$E$10</c:f>
              <c:numCache>
                <c:formatCode>0%</c:formatCode>
                <c:ptCount val="4"/>
                <c:pt idx="0">
                  <c:v>0.15107000000000001</c:v>
                </c:pt>
                <c:pt idx="1">
                  <c:v>0.19086</c:v>
                </c:pt>
                <c:pt idx="2">
                  <c:v>0.45318999999999998</c:v>
                </c:pt>
                <c:pt idx="3">
                  <c:v>0.17677999999999999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5-BE4A-BCE3-8528065C3854}"/>
            </c:ext>
          </c:extLst>
        </c:ser>
        <c:ser>
          <c:idx val="1"/>
          <c:order val="1"/>
          <c:tx>
            <c:strRef>
              <c:f>'Figure 1'!$A$11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1'!$B$9:$E$9</c:f>
              <c:strCache>
                <c:ptCount val="4"/>
                <c:pt idx="0">
                  <c:v>Having a midwife as your provider for pregnancy, childbirth and postpartum care (with doctor care if needed)</c:v>
                </c:pt>
                <c:pt idx="1">
                  <c:v>Giving birth in a birth center that is separate from a hospital (with hospital care if needed)</c:v>
                </c:pt>
                <c:pt idx="2">
                  <c:v>Giving birth at home (with hospital care if needed)</c:v>
                </c:pt>
                <c:pt idx="3">
                  <c:v>Having the support of a doula (trained labor companion) while you are giving birth</c:v>
                </c:pt>
              </c:strCache>
            </c:strRef>
          </c:cat>
          <c:val>
            <c:numRef>
              <c:f>'Figure 1'!$B$11:$E$11</c:f>
              <c:numCache>
                <c:formatCode>0%</c:formatCode>
                <c:ptCount val="4"/>
                <c:pt idx="0">
                  <c:v>0.17956</c:v>
                </c:pt>
                <c:pt idx="1">
                  <c:v>0.41095999999999999</c:v>
                </c:pt>
                <c:pt idx="2">
                  <c:v>0.79512000000000005</c:v>
                </c:pt>
                <c:pt idx="3">
                  <c:v>0.26778000000000002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5-BE4A-BCE3-8528065C3854}"/>
            </c:ext>
          </c:extLst>
        </c:ser>
        <c:ser>
          <c:idx val="2"/>
          <c:order val="2"/>
          <c:tx>
            <c:strRef>
              <c:f>'Figure 1'!$A$12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1'!$B$9:$E$9</c:f>
              <c:strCache>
                <c:ptCount val="4"/>
                <c:pt idx="0">
                  <c:v>Having a midwife as your provider for pregnancy, childbirth and postpartum care (with doctor care if needed)</c:v>
                </c:pt>
                <c:pt idx="1">
                  <c:v>Giving birth in a birth center that is separate from a hospital (with hospital care if needed)</c:v>
                </c:pt>
                <c:pt idx="2">
                  <c:v>Giving birth at home (with hospital care if needed)</c:v>
                </c:pt>
                <c:pt idx="3">
                  <c:v>Having the support of a doula (trained labor companion) while you are giving birth</c:v>
                </c:pt>
              </c:strCache>
            </c:strRef>
          </c:cat>
          <c:val>
            <c:numRef>
              <c:f>'Figure 1'!$B$12:$E$12</c:f>
              <c:numCache>
                <c:formatCode>0%</c:formatCode>
                <c:ptCount val="4"/>
                <c:pt idx="0">
                  <c:v>0.18289</c:v>
                </c:pt>
                <c:pt idx="1">
                  <c:v>0.29039999999999999</c:v>
                </c:pt>
                <c:pt idx="2">
                  <c:v>0.42337000000000002</c:v>
                </c:pt>
                <c:pt idx="3">
                  <c:v>0.18451000000000001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E5-BE4A-BCE3-8528065C3854}"/>
            </c:ext>
          </c:extLst>
        </c:ser>
        <c:ser>
          <c:idx val="3"/>
          <c:order val="3"/>
          <c:tx>
            <c:strRef>
              <c:f>'Figure 1'!$A$13</c:f>
              <c:strCache>
                <c:ptCount val="1"/>
                <c:pt idx="0">
                  <c:v>Latina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1'!$B$9:$E$9</c:f>
              <c:strCache>
                <c:ptCount val="4"/>
                <c:pt idx="0">
                  <c:v>Having a midwife as your provider for pregnancy, childbirth and postpartum care (with doctor care if needed)</c:v>
                </c:pt>
                <c:pt idx="1">
                  <c:v>Giving birth in a birth center that is separate from a hospital (with hospital care if needed)</c:v>
                </c:pt>
                <c:pt idx="2">
                  <c:v>Giving birth at home (with hospital care if needed)</c:v>
                </c:pt>
                <c:pt idx="3">
                  <c:v>Having the support of a doula (trained labor companion) while you are giving birth</c:v>
                </c:pt>
              </c:strCache>
            </c:strRef>
          </c:cat>
          <c:val>
            <c:numRef>
              <c:f>'Figure 1'!$B$13:$E$13</c:f>
              <c:numCache>
                <c:formatCode>0%</c:formatCode>
                <c:ptCount val="4"/>
                <c:pt idx="0">
                  <c:v>0.16042000000000001</c:v>
                </c:pt>
                <c:pt idx="1">
                  <c:v>0.41023999999999999</c:v>
                </c:pt>
                <c:pt idx="2">
                  <c:v>0.66108</c:v>
                </c:pt>
                <c:pt idx="3">
                  <c:v>0.34520000000000001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E5-BE4A-BCE3-8528065C3854}"/>
            </c:ext>
          </c:extLst>
        </c:ser>
        <c:ser>
          <c:idx val="4"/>
          <c:order val="4"/>
          <c:tx>
            <c:strRef>
              <c:f>'Figure 1'!$A$14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1'!$B$9:$E$9</c:f>
              <c:strCache>
                <c:ptCount val="4"/>
                <c:pt idx="0">
                  <c:v>Having a midwife as your provider for pregnancy, childbirth and postpartum care (with doctor care if needed)</c:v>
                </c:pt>
                <c:pt idx="1">
                  <c:v>Giving birth in a birth center that is separate from a hospital (with hospital care if needed)</c:v>
                </c:pt>
                <c:pt idx="2">
                  <c:v>Giving birth at home (with hospital care if needed)</c:v>
                </c:pt>
                <c:pt idx="3">
                  <c:v>Having the support of a doula (trained labor companion) while you are giving birth</c:v>
                </c:pt>
              </c:strCache>
            </c:strRef>
          </c:cat>
          <c:val>
            <c:numRef>
              <c:f>'Figure 1'!$B$14:$E$14</c:f>
              <c:numCache>
                <c:formatCode>0%</c:formatCode>
                <c:ptCount val="4"/>
                <c:pt idx="0">
                  <c:v>0.20673</c:v>
                </c:pt>
                <c:pt idx="1">
                  <c:v>0.44269999999999998</c:v>
                </c:pt>
                <c:pt idx="2">
                  <c:v>0.67556000000000005</c:v>
                </c:pt>
                <c:pt idx="3">
                  <c:v>0.21804000000000001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E5-BE4A-BCE3-8528065C3854}"/>
            </c:ext>
          </c:extLst>
        </c:ser>
        <c:ser>
          <c:idx val="5"/>
          <c:order val="5"/>
          <c:tx>
            <c:strRef>
              <c:f>'Figure 1'!$A$15</c:f>
              <c:strCache>
                <c:ptCount val="1"/>
                <c:pt idx="0">
                  <c:v>Multi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1'!$B$9:$E$9</c:f>
              <c:strCache>
                <c:ptCount val="4"/>
                <c:pt idx="0">
                  <c:v>Having a midwife as your provider for pregnancy, childbirth and postpartum care (with doctor care if needed)</c:v>
                </c:pt>
                <c:pt idx="1">
                  <c:v>Giving birth in a birth center that is separate from a hospital (with hospital care if needed)</c:v>
                </c:pt>
                <c:pt idx="2">
                  <c:v>Giving birth at home (with hospital care if needed)</c:v>
                </c:pt>
                <c:pt idx="3">
                  <c:v>Having the support of a doula (trained labor companion) while you are giving birth</c:v>
                </c:pt>
              </c:strCache>
            </c:strRef>
          </c:cat>
          <c:val>
            <c:numRef>
              <c:f>'Figure 1'!$B$15:$E$15</c:f>
              <c:numCache>
                <c:formatCode>0%</c:formatCode>
                <c:ptCount val="4"/>
                <c:pt idx="0">
                  <c:v>0.14310999999999999</c:v>
                </c:pt>
                <c:pt idx="1">
                  <c:v>0.35308</c:v>
                </c:pt>
                <c:pt idx="2">
                  <c:v>0.36610999999999999</c:v>
                </c:pt>
                <c:pt idx="3">
                  <c:v>0.16614000000000001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E5-BE4A-BCE3-8528065C38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806848"/>
        <c:axId val="166815360"/>
      </c:barChart>
      <c:catAx>
        <c:axId val="166806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15360"/>
        <c:crosses val="autoZero"/>
        <c:auto val="1"/>
        <c:lblAlgn val="ctr"/>
        <c:lblOffset val="100"/>
        <c:noMultiLvlLbl val="0"/>
      </c:catAx>
      <c:valAx>
        <c:axId val="166815360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6680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Any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'Figure 2'!$C$4</c:f>
              <c:strCache>
                <c:ptCount val="1"/>
                <c:pt idx="0">
                  <c:v>Weighted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2'!$A$5:$A$9</c:f>
              <c:strCache>
                <c:ptCount val="5"/>
                <c:pt idx="0">
                  <c:v>    0</c:v>
                </c:pt>
                <c:pt idx="1">
                  <c:v>    1</c:v>
                </c:pt>
                <c:pt idx="2">
                  <c:v>    2</c:v>
                </c:pt>
                <c:pt idx="3">
                  <c:v>    3</c:v>
                </c:pt>
                <c:pt idx="4">
                  <c:v>    4</c:v>
                </c:pt>
              </c:strCache>
            </c:strRef>
          </c:cat>
          <c:val>
            <c:numRef>
              <c:f>'Figure 2'!$C$5:$C$9</c:f>
              <c:numCache>
                <c:formatCode>0%</c:formatCode>
                <c:ptCount val="5"/>
                <c:pt idx="0">
                  <c:v>0.10291</c:v>
                </c:pt>
                <c:pt idx="1">
                  <c:v>0.19572999999999999</c:v>
                </c:pt>
                <c:pt idx="2">
                  <c:v>0.37846000000000002</c:v>
                </c:pt>
                <c:pt idx="3">
                  <c:v>0.25028</c:v>
                </c:pt>
                <c:pt idx="4">
                  <c:v>7.2620000000000004E-2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C-A547-8DA7-68AFFA4DF9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7451584"/>
        <c:axId val="247453376"/>
      </c:barChart>
      <c:catAx>
        <c:axId val="247451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53376"/>
        <c:crosses val="autoZero"/>
        <c:auto val="1"/>
        <c:lblAlgn val="ctr"/>
        <c:lblOffset val="100"/>
        <c:noMultiLvlLbl val="0"/>
      </c:catAx>
      <c:valAx>
        <c:axId val="24745337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24745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'Figure 3'!$B$3</c:f>
              <c:strCache>
                <c:ptCount val="1"/>
                <c:pt idx="0">
                  <c:v>Black Alone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3'!$A$4:$A$15</c:f>
              <c:strCache>
                <c:ptCount val="12"/>
                <c:pt idx="0">
                  <c:v>Did your providers treat you with respect?</c:v>
                </c:pt>
                <c:pt idx="1">
                  <c:v>Did you feel your experience and knowledge were valued?</c:v>
                </c:pt>
                <c:pt idx="2">
                  <c:v>Did you feel heard and listened to by your providers?</c:v>
                </c:pt>
                <c:pt idx="3">
                  <c:v>Did your providers involve you in decisions about your care?</c:v>
                </c:pt>
                <c:pt idx="4">
                  <c:v>Did your providers or other staff ask your permission/consent before touching or doing procedures on you?</c:v>
                </c:pt>
                <c:pt idx="5">
                  <c:v>Did you feel informed about what was happening to you during your childbirth?</c:v>
                </c:pt>
                <c:pt idx="6">
                  <c:v>Did you feel you could completely trust your providers with regards to your care?</c:v>
                </c:pt>
                <c:pt idx="7">
                  <c:v>Did you receive the support you needed (e.g., lactation support) to reach your feeding goals for your baby?</c:v>
                </c:pt>
                <c:pt idx="8">
                  <c:v>In general, did you feel physically safe in the place you gave birth?</c:v>
                </c:pt>
                <c:pt idx="9">
                  <c:v>Did you feel your providers responded in a timely manner when you requested assistance?</c:v>
                </c:pt>
                <c:pt idx="10">
                  <c:v>Would you say that you were not discriminated against?</c:v>
                </c:pt>
                <c:pt idx="11">
                  <c:v>Did you feel your providers did not avoid, ignore, or otherwise neglect you?</c:v>
                </c:pt>
              </c:strCache>
            </c:strRef>
          </c:cat>
          <c:val>
            <c:numRef>
              <c:f>'Figure 3'!$B$4:$B$15</c:f>
              <c:numCache>
                <c:formatCode>0%</c:formatCode>
                <c:ptCount val="12"/>
                <c:pt idx="0">
                  <c:v>0.23047000000000001</c:v>
                </c:pt>
                <c:pt idx="1">
                  <c:v>0.36016000000000004</c:v>
                </c:pt>
                <c:pt idx="2">
                  <c:v>0.3463</c:v>
                </c:pt>
                <c:pt idx="3">
                  <c:v>0.30208999999999997</c:v>
                </c:pt>
                <c:pt idx="4">
                  <c:v>0.29763000000000001</c:v>
                </c:pt>
                <c:pt idx="5">
                  <c:v>0.32040999999999997</c:v>
                </c:pt>
                <c:pt idx="6">
                  <c:v>0.36711000000000005</c:v>
                </c:pt>
                <c:pt idx="7">
                  <c:v>0.33353999999999995</c:v>
                </c:pt>
                <c:pt idx="8">
                  <c:v>0.18787999999999999</c:v>
                </c:pt>
                <c:pt idx="9">
                  <c:v>0.39793000000000001</c:v>
                </c:pt>
                <c:pt idx="10">
                  <c:v>0.11043</c:v>
                </c:pt>
                <c:pt idx="11">
                  <c:v>0.16369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5-5842-9246-50E58132FD28}"/>
            </c:ext>
          </c:extLst>
        </c:ser>
        <c:ser>
          <c:idx val="1"/>
          <c:order val="1"/>
          <c:tx>
            <c:strRef>
              <c:f>'Figure 3'!$C$3</c:f>
              <c:strCache>
                <c:ptCount val="1"/>
                <c:pt idx="0">
                  <c:v>Black in Combination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3'!$A$4:$A$15</c:f>
              <c:strCache>
                <c:ptCount val="12"/>
                <c:pt idx="0">
                  <c:v>Did your providers treat you with respect?</c:v>
                </c:pt>
                <c:pt idx="1">
                  <c:v>Did you feel your experience and knowledge were valued?</c:v>
                </c:pt>
                <c:pt idx="2">
                  <c:v>Did you feel heard and listened to by your providers?</c:v>
                </c:pt>
                <c:pt idx="3">
                  <c:v>Did your providers involve you in decisions about your care?</c:v>
                </c:pt>
                <c:pt idx="4">
                  <c:v>Did your providers or other staff ask your permission/consent before touching or doing procedures on you?</c:v>
                </c:pt>
                <c:pt idx="5">
                  <c:v>Did you feel informed about what was happening to you during your childbirth?</c:v>
                </c:pt>
                <c:pt idx="6">
                  <c:v>Did you feel you could completely trust your providers with regards to your care?</c:v>
                </c:pt>
                <c:pt idx="7">
                  <c:v>Did you receive the support you needed (e.g., lactation support) to reach your feeding goals for your baby?</c:v>
                </c:pt>
                <c:pt idx="8">
                  <c:v>In general, did you feel physically safe in the place you gave birth?</c:v>
                </c:pt>
                <c:pt idx="9">
                  <c:v>Did you feel your providers responded in a timely manner when you requested assistance?</c:v>
                </c:pt>
                <c:pt idx="10">
                  <c:v>Would you say that you were not discriminated against?</c:v>
                </c:pt>
                <c:pt idx="11">
                  <c:v>Did you feel your providers did not avoid, ignore, or otherwise neglect you?</c:v>
                </c:pt>
              </c:strCache>
            </c:strRef>
          </c:cat>
          <c:val>
            <c:numRef>
              <c:f>'Figure 3'!$C$4:$C$15</c:f>
              <c:numCache>
                <c:formatCode>0%</c:formatCode>
                <c:ptCount val="12"/>
                <c:pt idx="0">
                  <c:v>0.31568999999999997</c:v>
                </c:pt>
                <c:pt idx="1">
                  <c:v>0.46399999999999997</c:v>
                </c:pt>
                <c:pt idx="2">
                  <c:v>0.44241000000000003</c:v>
                </c:pt>
                <c:pt idx="3">
                  <c:v>0.34012999999999999</c:v>
                </c:pt>
                <c:pt idx="4">
                  <c:v>0.36147000000000001</c:v>
                </c:pt>
                <c:pt idx="5">
                  <c:v>0.32784999999999997</c:v>
                </c:pt>
                <c:pt idx="6">
                  <c:v>0.40632999999999997</c:v>
                </c:pt>
                <c:pt idx="7">
                  <c:v>0.36336000000000002</c:v>
                </c:pt>
                <c:pt idx="8">
                  <c:v>0.2321</c:v>
                </c:pt>
                <c:pt idx="9">
                  <c:v>0.44583</c:v>
                </c:pt>
                <c:pt idx="10">
                  <c:v>0.11899</c:v>
                </c:pt>
                <c:pt idx="11">
                  <c:v>0.25183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5-5842-9246-50E58132FD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537920"/>
        <c:axId val="198534336"/>
      </c:barChart>
      <c:catAx>
        <c:axId val="1985379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34336"/>
        <c:crosses val="autoZero"/>
        <c:auto val="1"/>
        <c:lblAlgn val="ctr"/>
        <c:lblOffset val="100"/>
        <c:noMultiLvlLbl val="0"/>
      </c:catAx>
      <c:valAx>
        <c:axId val="19853433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9853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Anxiety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'Figure 4'!$B$4</c:f>
              <c:strCache>
                <c:ptCount val="1"/>
                <c:pt idx="0">
                  <c:v>Pre-pregnancy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4'!$A$5:$A$8</c:f>
              <c:strCache>
                <c:ptCount val="4"/>
                <c:pt idx="0">
                  <c:v>White Alone</c:v>
                </c:pt>
                <c:pt idx="1">
                  <c:v>White + Black</c:v>
                </c:pt>
                <c:pt idx="2">
                  <c:v>Black in Combination (no white)</c:v>
                </c:pt>
                <c:pt idx="3">
                  <c:v>Black alone</c:v>
                </c:pt>
              </c:strCache>
            </c:strRef>
          </c:cat>
          <c:val>
            <c:numRef>
              <c:f>'Figure 4'!$B$5:$B$8</c:f>
              <c:numCache>
                <c:formatCode>0</c:formatCode>
                <c:ptCount val="4"/>
                <c:pt idx="0">
                  <c:v>48.735999999999997</c:v>
                </c:pt>
                <c:pt idx="1">
                  <c:v>57.46</c:v>
                </c:pt>
                <c:pt idx="2">
                  <c:v>56.872999999999998</c:v>
                </c:pt>
                <c:pt idx="3">
                  <c:v>44.813000000000002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D-6543-8BD5-CEAA39B160CF}"/>
            </c:ext>
          </c:extLst>
        </c:ser>
        <c:ser>
          <c:idx val="1"/>
          <c:order val="1"/>
          <c:tx>
            <c:strRef>
              <c:f>'Figure 4'!$C$4</c:f>
              <c:strCache>
                <c:ptCount val="1"/>
                <c:pt idx="0">
                  <c:v>Pregnancy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4'!$A$5:$A$8</c:f>
              <c:strCache>
                <c:ptCount val="4"/>
                <c:pt idx="0">
                  <c:v>White Alone</c:v>
                </c:pt>
                <c:pt idx="1">
                  <c:v>White + Black</c:v>
                </c:pt>
                <c:pt idx="2">
                  <c:v>Black in Combination (no white)</c:v>
                </c:pt>
                <c:pt idx="3">
                  <c:v>Black alone</c:v>
                </c:pt>
              </c:strCache>
            </c:strRef>
          </c:cat>
          <c:val>
            <c:numRef>
              <c:f>'Figure 4'!$C$5:$C$8</c:f>
              <c:numCache>
                <c:formatCode>0</c:formatCode>
                <c:ptCount val="4"/>
                <c:pt idx="0">
                  <c:v>32.531999999999996</c:v>
                </c:pt>
                <c:pt idx="1">
                  <c:v>65.23</c:v>
                </c:pt>
                <c:pt idx="2">
                  <c:v>46.768000000000001</c:v>
                </c:pt>
                <c:pt idx="3">
                  <c:v>45.523000000000003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D-6543-8BD5-CEAA39B160CF}"/>
            </c:ext>
          </c:extLst>
        </c:ser>
        <c:ser>
          <c:idx val="2"/>
          <c:order val="2"/>
          <c:tx>
            <c:strRef>
              <c:f>'Figure 4'!$D$4</c:f>
              <c:strCache>
                <c:ptCount val="1"/>
                <c:pt idx="0">
                  <c:v>Postpartum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4'!$A$5:$A$8</c:f>
              <c:strCache>
                <c:ptCount val="4"/>
                <c:pt idx="0">
                  <c:v>White Alone</c:v>
                </c:pt>
                <c:pt idx="1">
                  <c:v>White + Black</c:v>
                </c:pt>
                <c:pt idx="2">
                  <c:v>Black in Combination (no white)</c:v>
                </c:pt>
                <c:pt idx="3">
                  <c:v>Black alone</c:v>
                </c:pt>
              </c:strCache>
            </c:strRef>
          </c:cat>
          <c:val>
            <c:numRef>
              <c:f>'Figure 4'!$D$5:$D$8</c:f>
              <c:numCache>
                <c:formatCode>0</c:formatCode>
                <c:ptCount val="4"/>
                <c:pt idx="0">
                  <c:v>35.950000000000003</c:v>
                </c:pt>
                <c:pt idx="1">
                  <c:v>48.372</c:v>
                </c:pt>
                <c:pt idx="2">
                  <c:v>35.683999999999997</c:v>
                </c:pt>
                <c:pt idx="3">
                  <c:v>38.691000000000003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4D-6543-8BD5-CEAA39B160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4039296"/>
        <c:axId val="194041088"/>
      </c:barChart>
      <c:catAx>
        <c:axId val="194039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1088"/>
        <c:crosses val="autoZero"/>
        <c:auto val="1"/>
        <c:lblAlgn val="ctr"/>
        <c:lblOffset val="100"/>
        <c:noMultiLvlLbl val="0"/>
      </c:catAx>
      <c:valAx>
        <c:axId val="194041088"/>
        <c:scaling>
          <c:orientation val="minMax"/>
        </c:scaling>
        <c:delete val="1"/>
        <c:axPos val="t"/>
        <c:numFmt formatCode="0" sourceLinked="1"/>
        <c:majorTickMark val="none"/>
        <c:minorTickMark val="none"/>
        <c:tickLblPos val="nextTo"/>
        <c:crossAx val="19403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'Figure 4'!$E$4</c:f>
              <c:strCache>
                <c:ptCount val="1"/>
                <c:pt idx="0">
                  <c:v>Pre-pregnancy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4'!$A$5:$A$8</c:f>
              <c:strCache>
                <c:ptCount val="4"/>
                <c:pt idx="0">
                  <c:v>White Alone</c:v>
                </c:pt>
                <c:pt idx="1">
                  <c:v>White + Black</c:v>
                </c:pt>
                <c:pt idx="2">
                  <c:v>Black in Combination (no white)</c:v>
                </c:pt>
                <c:pt idx="3">
                  <c:v>Black alone</c:v>
                </c:pt>
              </c:strCache>
            </c:strRef>
          </c:cat>
          <c:val>
            <c:numRef>
              <c:f>'Figure 4'!$E$5:$E$8</c:f>
              <c:numCache>
                <c:formatCode>0</c:formatCode>
                <c:ptCount val="4"/>
                <c:pt idx="0">
                  <c:v>24.385999999999999</c:v>
                </c:pt>
                <c:pt idx="1">
                  <c:v>41.889000000000003</c:v>
                </c:pt>
                <c:pt idx="2">
                  <c:v>30.693000000000001</c:v>
                </c:pt>
                <c:pt idx="3">
                  <c:v>27.667999999999999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0-354A-8474-A81F9153C2E3}"/>
            </c:ext>
          </c:extLst>
        </c:ser>
        <c:ser>
          <c:idx val="1"/>
          <c:order val="1"/>
          <c:tx>
            <c:strRef>
              <c:f>'Figure 4'!$F$4</c:f>
              <c:strCache>
                <c:ptCount val="1"/>
                <c:pt idx="0">
                  <c:v>Pregnancy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4'!$A$5:$A$8</c:f>
              <c:strCache>
                <c:ptCount val="4"/>
                <c:pt idx="0">
                  <c:v>White Alone</c:v>
                </c:pt>
                <c:pt idx="1">
                  <c:v>White + Black</c:v>
                </c:pt>
                <c:pt idx="2">
                  <c:v>Black in Combination (no white)</c:v>
                </c:pt>
                <c:pt idx="3">
                  <c:v>Black alone</c:v>
                </c:pt>
              </c:strCache>
            </c:strRef>
          </c:cat>
          <c:val>
            <c:numRef>
              <c:f>'Figure 4'!$F$5:$F$8</c:f>
              <c:numCache>
                <c:formatCode>0</c:formatCode>
                <c:ptCount val="4"/>
                <c:pt idx="0">
                  <c:v>17.523</c:v>
                </c:pt>
                <c:pt idx="1">
                  <c:v>42.045000000000002</c:v>
                </c:pt>
                <c:pt idx="2">
                  <c:v>29.591999999999999</c:v>
                </c:pt>
                <c:pt idx="3">
                  <c:v>34.720999999999997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0-354A-8474-A81F9153C2E3}"/>
            </c:ext>
          </c:extLst>
        </c:ser>
        <c:ser>
          <c:idx val="2"/>
          <c:order val="2"/>
          <c:tx>
            <c:strRef>
              <c:f>'Figure 4'!$G$4</c:f>
              <c:strCache>
                <c:ptCount val="1"/>
                <c:pt idx="0">
                  <c:v>Postpartum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4'!$A$5:$A$8</c:f>
              <c:strCache>
                <c:ptCount val="4"/>
                <c:pt idx="0">
                  <c:v>White Alone</c:v>
                </c:pt>
                <c:pt idx="1">
                  <c:v>White + Black</c:v>
                </c:pt>
                <c:pt idx="2">
                  <c:v>Black in Combination (no white)</c:v>
                </c:pt>
                <c:pt idx="3">
                  <c:v>Black alone</c:v>
                </c:pt>
              </c:strCache>
            </c:strRef>
          </c:cat>
          <c:val>
            <c:numRef>
              <c:f>'Figure 4'!$G$5:$G$8</c:f>
              <c:numCache>
                <c:formatCode>0</c:formatCode>
                <c:ptCount val="4"/>
                <c:pt idx="0">
                  <c:v>21.177</c:v>
                </c:pt>
                <c:pt idx="1">
                  <c:v>34.673999999999999</c:v>
                </c:pt>
                <c:pt idx="2">
                  <c:v>35.640999999999998</c:v>
                </c:pt>
                <c:pt idx="3">
                  <c:v>29.983000000000001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0-354A-8474-A81F9153C2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692672"/>
        <c:axId val="169694464"/>
      </c:barChart>
      <c:catAx>
        <c:axId val="169692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94464"/>
        <c:crosses val="autoZero"/>
        <c:auto val="1"/>
        <c:lblAlgn val="ctr"/>
        <c:lblOffset val="100"/>
        <c:noMultiLvlLbl val="0"/>
      </c:catAx>
      <c:valAx>
        <c:axId val="169694464"/>
        <c:scaling>
          <c:orientation val="minMax"/>
        </c:scaling>
        <c:delete val="1"/>
        <c:axPos val="t"/>
        <c:numFmt formatCode="0" sourceLinked="1"/>
        <c:majorTickMark val="none"/>
        <c:minorTickMark val="none"/>
        <c:tickLblPos val="nextTo"/>
        <c:crossAx val="16969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'Figure 5'!$B$3</c:f>
              <c:strCache>
                <c:ptCount val="1"/>
                <c:pt idx="0">
                  <c:v>Any 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5'!$A$5:$A$13</c:f>
              <c:strCache>
                <c:ptCount val="9"/>
                <c:pt idx="0">
                  <c:v>    You were unemployed or without regular income</c:v>
                </c:pt>
                <c:pt idx="1">
                  <c:v>    You had trouble paying for your utilities (gas, electric, phone)</c:v>
                </c:pt>
                <c:pt idx="2">
                  <c:v>    You had trouble finding or paying for a ride/transportation</c:v>
                </c:pt>
                <c:pt idx="3">
                  <c:v>    You or others you lived with ate smaller meals or skipped meals because you didn’t have enough money for food</c:v>
                </c:pt>
                <c:pt idx="4">
                  <c:v>    You needed daycare, or better daycare, for your kids</c:v>
                </c:pt>
                <c:pt idx="5">
                  <c:v>    You were homeless or worried you might become homeless in the future</c:v>
                </c:pt>
                <c:pt idx="6">
                  <c:v>    Someone in your home was threatening or abusing you</c:v>
                </c:pt>
                <c:pt idx="7">
                  <c:v>    You felt unsafe in your daily life</c:v>
                </c:pt>
                <c:pt idx="8">
                  <c:v>    You were concerned about someone in your home using drugs or alcohol</c:v>
                </c:pt>
              </c:strCache>
            </c:strRef>
          </c:cat>
          <c:val>
            <c:numRef>
              <c:f>'Figure 5'!$B$5:$B$13</c:f>
              <c:numCache>
                <c:formatCode>0%</c:formatCode>
                <c:ptCount val="9"/>
                <c:pt idx="0">
                  <c:v>0.29205999999999999</c:v>
                </c:pt>
                <c:pt idx="1">
                  <c:v>0.19292000000000001</c:v>
                </c:pt>
                <c:pt idx="2">
                  <c:v>0.16525999999999999</c:v>
                </c:pt>
                <c:pt idx="3">
                  <c:v>0.15345</c:v>
                </c:pt>
                <c:pt idx="4">
                  <c:v>0.13647000000000001</c:v>
                </c:pt>
                <c:pt idx="5">
                  <c:v>0.11129</c:v>
                </c:pt>
                <c:pt idx="6">
                  <c:v>3.7130000000000003E-2</c:v>
                </c:pt>
                <c:pt idx="7">
                  <c:v>3.6220000000000002E-2</c:v>
                </c:pt>
                <c:pt idx="8">
                  <c:v>1.636E-2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3-5243-A2D9-779CD4533C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171392"/>
        <c:axId val="170165120"/>
      </c:barChart>
      <c:catAx>
        <c:axId val="170171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65120"/>
        <c:crosses val="autoZero"/>
        <c:auto val="1"/>
        <c:lblAlgn val="ctr"/>
        <c:lblOffset val="100"/>
        <c:noMultiLvlLbl val="0"/>
      </c:catAx>
      <c:valAx>
        <c:axId val="170165120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7017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355600</xdr:colOff>
      <xdr:row>0</xdr:row>
      <xdr:rowOff>215900</xdr:rowOff>
    </xdr:from>
    <xdr:to>
      <xdr:col>13</xdr:col>
      <xdr:colOff>800100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A8A6F-1B94-09ED-CCB9-0F78F520D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571500</xdr:colOff>
      <xdr:row>20</xdr:row>
      <xdr:rowOff>88900</xdr:rowOff>
    </xdr:from>
    <xdr:to>
      <xdr:col>11</xdr:col>
      <xdr:colOff>698500</xdr:colOff>
      <xdr:row>36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BD6D16-9E84-639E-73B8-7C4AC6A6B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584200</xdr:colOff>
      <xdr:row>12</xdr:row>
      <xdr:rowOff>88900</xdr:rowOff>
    </xdr:from>
    <xdr:to>
      <xdr:col>5</xdr:col>
      <xdr:colOff>368300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039938-881B-AE09-804B-E06867B8F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190500</xdr:rowOff>
    </xdr:from>
    <xdr:to>
      <xdr:col>7</xdr:col>
      <xdr:colOff>660400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7BD360-7136-2A4C-DA7A-EC8F876BF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9</xdr:row>
      <xdr:rowOff>88900</xdr:rowOff>
    </xdr:from>
    <xdr:to>
      <xdr:col>4</xdr:col>
      <xdr:colOff>25400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7D0C9A-58EF-0643-FE97-50E25DF27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596900</xdr:colOff>
      <xdr:row>9</xdr:row>
      <xdr:rowOff>25400</xdr:rowOff>
    </xdr:from>
    <xdr:to>
      <xdr:col>10</xdr:col>
      <xdr:colOff>76200</xdr:colOff>
      <xdr:row>29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E83B2B-AF5D-1908-1F56-C54B895D4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1</xdr:row>
      <xdr:rowOff>101600</xdr:rowOff>
    </xdr:from>
    <xdr:to>
      <xdr:col>10</xdr:col>
      <xdr:colOff>25400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677BE8-125E-B9CE-A62D-22BD34DC7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23EC-3889-934A-B102-9AACF2E0E366}">
  <dimension ref="A1:E28"/>
  <sheetViews>
    <sheetView workbookViewId="0">
      <selection activeCell="A28" sqref="A28"/>
    </sheetView>
  </sheetViews>
  <sheetFormatPr baseColWidth="10" defaultRowHeight="16"/>
  <cols>
    <col min="4" max="4" width="15.33203125" bestFit="1" customWidth="1"/>
    <col min="5" max="5" width="19.33203125" bestFit="1" customWidth="1"/>
  </cols>
  <sheetData>
    <row r="1" spans="1:5">
      <c r="B1" s="1" t="s">
        <v>19</v>
      </c>
      <c r="C1" s="1" t="s">
        <v>2</v>
      </c>
      <c r="D1" s="1" t="s">
        <v>3</v>
      </c>
      <c r="E1" s="1" t="s">
        <v>5</v>
      </c>
    </row>
    <row r="2" spans="1:5">
      <c r="A2" s="1" t="s">
        <v>0</v>
      </c>
      <c r="B2">
        <v>2819</v>
      </c>
      <c r="C2">
        <v>1139</v>
      </c>
      <c r="D2">
        <v>891</v>
      </c>
      <c r="E2">
        <f>C2-D2</f>
        <v>248</v>
      </c>
    </row>
    <row r="3" spans="1:5">
      <c r="A3" s="1" t="s">
        <v>1</v>
      </c>
      <c r="B3">
        <v>1718</v>
      </c>
      <c r="C3">
        <v>477</v>
      </c>
      <c r="D3">
        <v>362</v>
      </c>
      <c r="E3">
        <f>C3-D3</f>
        <v>115</v>
      </c>
    </row>
    <row r="4" spans="1:5">
      <c r="A4" s="1" t="s">
        <v>4</v>
      </c>
      <c r="B4" s="1">
        <f>SUM(B2:B3)</f>
        <v>4537</v>
      </c>
      <c r="C4" s="1">
        <f>SUM(C2:C3)</f>
        <v>1616</v>
      </c>
      <c r="D4" s="1">
        <f>SUM(D2:D3)</f>
        <v>1253</v>
      </c>
      <c r="E4" s="1">
        <f>SUM(E2:E3)</f>
        <v>363</v>
      </c>
    </row>
    <row r="7" spans="1:5">
      <c r="B7" s="1" t="s">
        <v>19</v>
      </c>
      <c r="C7" s="1" t="s">
        <v>13</v>
      </c>
      <c r="D7" s="1" t="s">
        <v>14</v>
      </c>
      <c r="E7" s="1" t="s">
        <v>6</v>
      </c>
    </row>
    <row r="8" spans="1:5">
      <c r="A8" s="1" t="s">
        <v>0</v>
      </c>
      <c r="B8">
        <v>2819</v>
      </c>
      <c r="C8">
        <v>238</v>
      </c>
      <c r="D8">
        <f>87+22</f>
        <v>109</v>
      </c>
      <c r="E8">
        <f>C8-D8</f>
        <v>129</v>
      </c>
    </row>
    <row r="9" spans="1:5">
      <c r="A9" s="1" t="s">
        <v>1</v>
      </c>
      <c r="B9">
        <v>1718</v>
      </c>
      <c r="C9">
        <v>333</v>
      </c>
      <c r="D9">
        <f>168+36</f>
        <v>204</v>
      </c>
      <c r="E9">
        <f>C9-D9</f>
        <v>129</v>
      </c>
    </row>
    <row r="10" spans="1:5">
      <c r="A10" s="1" t="s">
        <v>4</v>
      </c>
      <c r="B10" s="1">
        <f>SUM(B8:B9)</f>
        <v>4537</v>
      </c>
      <c r="C10" s="1">
        <f t="shared" ref="C10:E10" si="0">SUM(C8:C9)</f>
        <v>571</v>
      </c>
      <c r="D10" s="1">
        <f t="shared" si="0"/>
        <v>313</v>
      </c>
      <c r="E10" s="1">
        <f t="shared" si="0"/>
        <v>258</v>
      </c>
    </row>
    <row r="13" spans="1:5">
      <c r="B13" s="1" t="s">
        <v>19</v>
      </c>
      <c r="C13" s="1" t="s">
        <v>7</v>
      </c>
      <c r="D13" s="1" t="s">
        <v>8</v>
      </c>
      <c r="E13" s="1" t="s">
        <v>9</v>
      </c>
    </row>
    <row r="14" spans="1:5">
      <c r="A14" s="1" t="s">
        <v>0</v>
      </c>
      <c r="B14">
        <v>2819</v>
      </c>
      <c r="C14">
        <v>158</v>
      </c>
      <c r="D14">
        <v>114</v>
      </c>
      <c r="E14">
        <f>C14-D14</f>
        <v>44</v>
      </c>
    </row>
    <row r="15" spans="1:5">
      <c r="A15" s="1" t="s">
        <v>1</v>
      </c>
      <c r="B15">
        <v>1718</v>
      </c>
      <c r="C15">
        <v>191</v>
      </c>
      <c r="D15">
        <v>124</v>
      </c>
      <c r="E15">
        <f>C15-D15</f>
        <v>67</v>
      </c>
    </row>
    <row r="16" spans="1:5">
      <c r="A16" s="1" t="s">
        <v>4</v>
      </c>
      <c r="B16" s="1">
        <f>SUM(B14:B15)</f>
        <v>4537</v>
      </c>
      <c r="C16" s="1">
        <f t="shared" ref="C16:E16" si="1">SUM(C14:C15)</f>
        <v>349</v>
      </c>
      <c r="D16" s="1">
        <f t="shared" si="1"/>
        <v>238</v>
      </c>
      <c r="E16" s="1">
        <f t="shared" si="1"/>
        <v>111</v>
      </c>
    </row>
    <row r="19" spans="1:5">
      <c r="B19" s="1" t="s">
        <v>19</v>
      </c>
      <c r="C19" s="1" t="s">
        <v>10</v>
      </c>
      <c r="D19" s="1" t="s">
        <v>11</v>
      </c>
      <c r="E19" s="1" t="s">
        <v>12</v>
      </c>
    </row>
    <row r="20" spans="1:5">
      <c r="A20" s="1" t="s">
        <v>0</v>
      </c>
      <c r="B20">
        <v>2819</v>
      </c>
      <c r="C20">
        <v>1186</v>
      </c>
      <c r="D20">
        <v>788</v>
      </c>
      <c r="E20">
        <f>C20-D20</f>
        <v>398</v>
      </c>
    </row>
    <row r="21" spans="1:5">
      <c r="A21" s="1" t="s">
        <v>1</v>
      </c>
      <c r="B21">
        <v>1718</v>
      </c>
      <c r="C21">
        <v>601</v>
      </c>
      <c r="D21">
        <v>370</v>
      </c>
      <c r="E21">
        <f>C21-D21</f>
        <v>231</v>
      </c>
    </row>
    <row r="22" spans="1:5">
      <c r="A22" s="1" t="s">
        <v>4</v>
      </c>
      <c r="B22" s="1">
        <f>SUM(B20:B21)</f>
        <v>4537</v>
      </c>
      <c r="C22" s="1">
        <f t="shared" ref="C22:E22" si="2">SUM(C20:C21)</f>
        <v>1787</v>
      </c>
      <c r="D22" s="1">
        <f t="shared" si="2"/>
        <v>1158</v>
      </c>
      <c r="E22" s="1">
        <f t="shared" si="2"/>
        <v>629</v>
      </c>
    </row>
    <row r="25" spans="1:5">
      <c r="B25" s="1" t="s">
        <v>19</v>
      </c>
      <c r="C25" s="1" t="s">
        <v>16</v>
      </c>
      <c r="D25" s="1" t="s">
        <v>17</v>
      </c>
      <c r="E25" s="1" t="s">
        <v>18</v>
      </c>
    </row>
    <row r="26" spans="1:5">
      <c r="A26" s="1" t="s">
        <v>0</v>
      </c>
      <c r="B26">
        <v>2819</v>
      </c>
      <c r="C26">
        <v>662</v>
      </c>
      <c r="D26">
        <v>361</v>
      </c>
      <c r="E26">
        <f>C26-D26</f>
        <v>301</v>
      </c>
    </row>
    <row r="27" spans="1:5">
      <c r="A27" s="1" t="s">
        <v>1</v>
      </c>
      <c r="B27">
        <v>1718</v>
      </c>
      <c r="C27">
        <v>514</v>
      </c>
      <c r="D27">
        <v>292</v>
      </c>
      <c r="E27">
        <f>C27-D27</f>
        <v>222</v>
      </c>
    </row>
    <row r="28" spans="1:5">
      <c r="A28" s="1" t="s">
        <v>4</v>
      </c>
      <c r="B28" s="1">
        <f>SUM(B26:B27)</f>
        <v>4537</v>
      </c>
      <c r="C28" s="1">
        <f t="shared" ref="C28:E28" si="3">SUM(C26:C27)</f>
        <v>1176</v>
      </c>
      <c r="D28" s="1">
        <f t="shared" si="3"/>
        <v>653</v>
      </c>
      <c r="E28" s="1">
        <f t="shared" si="3"/>
        <v>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5681-C6DC-5041-BD68-897F439DA85C}">
  <dimension ref="A1:J29"/>
  <sheetViews>
    <sheetView tabSelected="1" topLeftCell="A6" workbookViewId="0">
      <selection activeCell="D19" sqref="D19"/>
    </sheetView>
  </sheetViews>
  <sheetFormatPr baseColWidth="10" defaultRowHeight="16"/>
  <cols>
    <col min="1" max="7" width="10.83203125" style="23"/>
    <col min="8" max="8" width="17.33203125" style="23" customWidth="1"/>
    <col min="9" max="16384" width="10.83203125" style="23"/>
  </cols>
  <sheetData>
    <row r="1" spans="1:10" ht="34" customHeight="1">
      <c r="A1" s="22" t="s">
        <v>20</v>
      </c>
      <c r="B1" s="22"/>
      <c r="C1" s="22"/>
      <c r="D1" s="22"/>
      <c r="E1" s="22"/>
      <c r="F1" s="22"/>
      <c r="G1" s="22"/>
      <c r="H1" s="22"/>
    </row>
    <row r="2" spans="1:10">
      <c r="A2" s="23" t="s">
        <v>1</v>
      </c>
    </row>
    <row r="4" spans="1:10">
      <c r="B4" s="25" t="s">
        <v>70</v>
      </c>
      <c r="C4" s="25" t="s">
        <v>71</v>
      </c>
      <c r="D4" s="25" t="s">
        <v>72</v>
      </c>
      <c r="E4" s="25" t="s">
        <v>73</v>
      </c>
      <c r="I4" s="24"/>
      <c r="J4" s="24"/>
    </row>
    <row r="5" spans="1:10">
      <c r="A5" s="23" t="s">
        <v>2</v>
      </c>
      <c r="B5" s="29">
        <v>15.72</v>
      </c>
      <c r="C5" s="29">
        <v>26.479999999999997</v>
      </c>
      <c r="D5" s="29">
        <v>40.375999999999998</v>
      </c>
      <c r="E5" s="29">
        <v>16.408000000000001</v>
      </c>
      <c r="I5" s="25"/>
      <c r="J5" s="25"/>
    </row>
    <row r="6" spans="1:10">
      <c r="A6" s="23" t="s">
        <v>3</v>
      </c>
      <c r="B6" s="29">
        <v>18.289000000000001</v>
      </c>
      <c r="C6" s="29">
        <v>29.04</v>
      </c>
      <c r="D6" s="29">
        <v>42.337000000000003</v>
      </c>
      <c r="E6" s="29">
        <v>18.451000000000001</v>
      </c>
      <c r="I6" s="25"/>
      <c r="J6" s="26"/>
    </row>
    <row r="7" spans="1:10">
      <c r="A7" s="23" t="s">
        <v>64</v>
      </c>
      <c r="B7" s="29">
        <v>6.968</v>
      </c>
      <c r="C7" s="29">
        <v>17.783000000000001</v>
      </c>
      <c r="D7" s="29">
        <v>33.713000000000001</v>
      </c>
      <c r="E7" s="29">
        <v>9.468</v>
      </c>
      <c r="I7" s="25"/>
      <c r="J7" s="26"/>
    </row>
    <row r="8" spans="1:10">
      <c r="H8" s="25"/>
      <c r="I8" s="25"/>
      <c r="J8" s="26"/>
    </row>
    <row r="9" spans="1:10">
      <c r="A9" s="27"/>
      <c r="B9" s="25" t="s">
        <v>70</v>
      </c>
      <c r="C9" s="25" t="s">
        <v>71</v>
      </c>
      <c r="D9" s="25" t="s">
        <v>72</v>
      </c>
      <c r="E9" s="25" t="s">
        <v>73</v>
      </c>
      <c r="H9" s="25"/>
      <c r="I9" s="25"/>
      <c r="J9" s="26"/>
    </row>
    <row r="10" spans="1:10">
      <c r="A10" s="25" t="s">
        <v>65</v>
      </c>
      <c r="B10" s="30">
        <v>0.15107000000000001</v>
      </c>
      <c r="C10" s="30">
        <v>0.19086</v>
      </c>
      <c r="D10" s="30">
        <v>0.45318999999999998</v>
      </c>
      <c r="E10" s="30">
        <v>0.17677999999999999</v>
      </c>
      <c r="H10" s="25"/>
      <c r="I10" s="25"/>
      <c r="J10" s="26"/>
    </row>
    <row r="11" spans="1:10">
      <c r="A11" s="25" t="s">
        <v>66</v>
      </c>
      <c r="B11" s="30">
        <v>0.17956</v>
      </c>
      <c r="C11" s="30">
        <v>0.41095999999999999</v>
      </c>
      <c r="D11" s="30">
        <v>0.79512000000000005</v>
      </c>
      <c r="E11" s="30">
        <v>0.26778000000000002</v>
      </c>
      <c r="H11" s="25"/>
      <c r="I11" s="25"/>
      <c r="J11" s="25"/>
    </row>
    <row r="12" spans="1:10">
      <c r="A12" s="25" t="s">
        <v>67</v>
      </c>
      <c r="B12" s="30">
        <v>0.18289</v>
      </c>
      <c r="C12" s="30">
        <v>0.29039999999999999</v>
      </c>
      <c r="D12" s="30">
        <v>0.42337000000000002</v>
      </c>
      <c r="E12" s="30">
        <v>0.18451000000000001</v>
      </c>
      <c r="H12" s="25"/>
      <c r="I12" s="25"/>
      <c r="J12" s="26"/>
    </row>
    <row r="13" spans="1:10">
      <c r="A13" s="25" t="s">
        <v>15</v>
      </c>
      <c r="B13" s="30">
        <v>0.16042000000000001</v>
      </c>
      <c r="C13" s="30">
        <v>0.41023999999999999</v>
      </c>
      <c r="D13" s="30">
        <v>0.66108</v>
      </c>
      <c r="E13" s="30">
        <v>0.34520000000000001</v>
      </c>
      <c r="H13" s="25"/>
      <c r="I13" s="25"/>
      <c r="J13" s="26"/>
    </row>
    <row r="14" spans="1:10">
      <c r="A14" s="25" t="s">
        <v>69</v>
      </c>
      <c r="B14" s="30">
        <v>0.20673</v>
      </c>
      <c r="C14" s="30">
        <v>0.44269999999999998</v>
      </c>
      <c r="D14" s="30">
        <v>0.67556000000000005</v>
      </c>
      <c r="E14" s="30">
        <v>0.21804000000000001</v>
      </c>
      <c r="H14" s="25"/>
      <c r="I14" s="25"/>
      <c r="J14" s="26"/>
    </row>
    <row r="15" spans="1:10">
      <c r="A15" s="25" t="s">
        <v>68</v>
      </c>
      <c r="B15" s="30">
        <v>0.14310999999999999</v>
      </c>
      <c r="C15" s="30">
        <v>0.35308</v>
      </c>
      <c r="D15" s="30">
        <v>0.36610999999999999</v>
      </c>
      <c r="E15" s="30">
        <v>0.16614000000000001</v>
      </c>
      <c r="H15" s="25"/>
      <c r="I15" s="25"/>
      <c r="J15" s="26"/>
    </row>
    <row r="16" spans="1:10">
      <c r="H16" s="25"/>
      <c r="I16" s="25"/>
      <c r="J16" s="25"/>
    </row>
    <row r="17" spans="1:10">
      <c r="A17" s="25" t="s">
        <v>74</v>
      </c>
      <c r="H17" s="25"/>
      <c r="I17" s="25"/>
      <c r="J17" s="26"/>
    </row>
    <row r="18" spans="1:10">
      <c r="A18" s="25" t="s">
        <v>75</v>
      </c>
      <c r="H18" s="25"/>
      <c r="I18" s="25"/>
      <c r="J18" s="26"/>
    </row>
    <row r="19" spans="1:10">
      <c r="A19" s="25" t="s">
        <v>76</v>
      </c>
      <c r="H19" s="25"/>
      <c r="I19" s="25"/>
      <c r="J19" s="26"/>
    </row>
    <row r="20" spans="1:10">
      <c r="A20" s="25" t="s">
        <v>77</v>
      </c>
      <c r="H20" s="25"/>
      <c r="I20" s="25"/>
      <c r="J20" s="26"/>
    </row>
    <row r="21" spans="1:10">
      <c r="H21" s="25"/>
      <c r="I21" s="25"/>
      <c r="J21" s="26"/>
    </row>
    <row r="22" spans="1:10">
      <c r="H22" s="25"/>
      <c r="I22" s="25"/>
      <c r="J22" s="25"/>
    </row>
    <row r="23" spans="1:10">
      <c r="H23" s="25"/>
      <c r="I23" s="25"/>
      <c r="J23" s="26"/>
    </row>
    <row r="24" spans="1:10">
      <c r="H24" s="25"/>
      <c r="I24" s="25"/>
      <c r="J24" s="26"/>
    </row>
    <row r="25" spans="1:10">
      <c r="H25" s="25"/>
      <c r="I25" s="25"/>
      <c r="J25" s="26"/>
    </row>
    <row r="26" spans="1:10">
      <c r="H26" s="25"/>
      <c r="I26" s="25"/>
      <c r="J26" s="26"/>
    </row>
    <row r="27" spans="1:10">
      <c r="H27" s="25"/>
      <c r="I27" s="25"/>
      <c r="J27" s="26"/>
    </row>
    <row r="28" spans="1:10">
      <c r="H28" s="25"/>
    </row>
    <row r="29" spans="1:10" ht="19">
      <c r="H29" s="28"/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BF47-A3C5-6245-9B86-8B39CC121746}">
  <dimension ref="A1:L17"/>
  <sheetViews>
    <sheetView workbookViewId="0">
      <selection activeCell="A8" sqref="A8:E17"/>
    </sheetView>
  </sheetViews>
  <sheetFormatPr baseColWidth="10" defaultRowHeight="16"/>
  <cols>
    <col min="7" max="7" width="10.83203125" customWidth="1"/>
  </cols>
  <sheetData>
    <row r="1" spans="1:12" ht="21">
      <c r="A1" s="18"/>
      <c r="B1" s="18"/>
      <c r="C1" s="18"/>
      <c r="D1" s="18"/>
      <c r="E1" s="18"/>
      <c r="F1" s="2"/>
      <c r="G1" s="18"/>
      <c r="H1" s="2"/>
      <c r="I1" s="18"/>
      <c r="L1" s="18"/>
    </row>
    <row r="2" spans="1:12" ht="18">
      <c r="A2" s="3"/>
      <c r="B2" s="3"/>
      <c r="C2" s="3"/>
      <c r="D2" s="3"/>
      <c r="E2" s="3"/>
      <c r="F2" s="3"/>
      <c r="G2" s="3"/>
      <c r="H2" s="3"/>
      <c r="I2" s="3"/>
      <c r="L2" s="3"/>
    </row>
    <row r="3" spans="1:12" ht="18">
      <c r="A3" s="3"/>
      <c r="B3" s="3"/>
      <c r="C3" s="3"/>
      <c r="D3" s="3"/>
      <c r="E3" s="3"/>
      <c r="F3" s="3"/>
      <c r="G3" s="3"/>
      <c r="H3" s="3"/>
      <c r="I3" s="3"/>
      <c r="L3" s="3"/>
    </row>
    <row r="4" spans="1:12" ht="18">
      <c r="A4" s="3"/>
      <c r="B4" s="3"/>
      <c r="C4" s="3"/>
      <c r="D4" s="3"/>
      <c r="E4" s="3"/>
      <c r="F4" s="3"/>
      <c r="G4" s="3"/>
      <c r="H4" s="3"/>
      <c r="I4" s="3"/>
      <c r="L4" s="3"/>
    </row>
    <row r="5" spans="1:12" ht="18">
      <c r="A5" s="3"/>
      <c r="B5" s="3"/>
      <c r="C5" s="3"/>
      <c r="D5" s="3"/>
      <c r="E5" s="3"/>
      <c r="F5" s="3"/>
      <c r="G5" s="3"/>
      <c r="H5" s="3"/>
      <c r="I5" s="3"/>
      <c r="L5" s="3"/>
    </row>
    <row r="8" spans="1:12" ht="21">
      <c r="A8" s="18"/>
      <c r="B8" s="3" t="s">
        <v>70</v>
      </c>
      <c r="C8" s="3" t="s">
        <v>71</v>
      </c>
      <c r="D8" s="3" t="s">
        <v>72</v>
      </c>
      <c r="E8" s="3" t="s">
        <v>73</v>
      </c>
    </row>
    <row r="9" spans="1:12" ht="21">
      <c r="A9" s="2" t="s">
        <v>65</v>
      </c>
      <c r="B9" s="5">
        <v>0.15107000000000001</v>
      </c>
      <c r="C9" s="5">
        <v>0.19086</v>
      </c>
      <c r="D9" s="5">
        <v>0.45318999999999998</v>
      </c>
      <c r="E9" s="5">
        <v>0.17677999999999999</v>
      </c>
    </row>
    <row r="10" spans="1:12" ht="21">
      <c r="A10" s="2" t="s">
        <v>66</v>
      </c>
      <c r="B10" s="5">
        <v>0.17956</v>
      </c>
      <c r="C10" s="5">
        <v>0.41095999999999999</v>
      </c>
      <c r="D10" s="5">
        <v>0.79512000000000005</v>
      </c>
      <c r="E10" s="5">
        <v>0.26778000000000002</v>
      </c>
    </row>
    <row r="11" spans="1:12" ht="21">
      <c r="A11" s="2" t="s">
        <v>67</v>
      </c>
      <c r="B11" s="5">
        <v>0.18289</v>
      </c>
      <c r="C11" s="5">
        <v>0.29039999999999999</v>
      </c>
      <c r="D11" s="5">
        <v>0.42337000000000002</v>
      </c>
      <c r="E11" s="5">
        <v>0.18451000000000001</v>
      </c>
    </row>
    <row r="12" spans="1:12" ht="21">
      <c r="A12" s="2" t="s">
        <v>15</v>
      </c>
      <c r="B12" s="5">
        <v>0.16042000000000001</v>
      </c>
      <c r="C12" s="5">
        <v>0.41023999999999999</v>
      </c>
      <c r="D12" s="5">
        <v>0.66108</v>
      </c>
      <c r="E12" s="5">
        <v>0.34520000000000001</v>
      </c>
    </row>
    <row r="13" spans="1:12" ht="21">
      <c r="A13" s="2" t="s">
        <v>69</v>
      </c>
      <c r="B13" s="5">
        <v>0.20673</v>
      </c>
      <c r="C13" s="5">
        <v>0.44269999999999998</v>
      </c>
      <c r="D13" s="5">
        <v>0.67556000000000005</v>
      </c>
      <c r="E13" s="5">
        <v>0.21804000000000001</v>
      </c>
    </row>
    <row r="14" spans="1:12" ht="21">
      <c r="A14" s="2" t="s">
        <v>68</v>
      </c>
      <c r="B14" s="5">
        <v>0.14310999999999999</v>
      </c>
      <c r="C14" s="5">
        <v>0.35308</v>
      </c>
      <c r="D14" s="5">
        <v>0.36610999999999999</v>
      </c>
      <c r="E14" s="5">
        <v>0.16614000000000001</v>
      </c>
    </row>
    <row r="15" spans="1:12" ht="18">
      <c r="C15" s="3" t="s">
        <v>74</v>
      </c>
      <c r="D15" s="3" t="s">
        <v>75</v>
      </c>
    </row>
    <row r="16" spans="1:12" ht="18">
      <c r="D16" s="3" t="s">
        <v>76</v>
      </c>
    </row>
    <row r="17" spans="4:4" ht="18">
      <c r="D17" s="3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28A4-3795-4D45-B066-9AAA1C2D98F5}">
  <dimension ref="A1:I25"/>
  <sheetViews>
    <sheetView workbookViewId="0">
      <selection activeCell="F10" activeCellId="1" sqref="D10 F10"/>
    </sheetView>
  </sheetViews>
  <sheetFormatPr baseColWidth="10" defaultRowHeight="16"/>
  <cols>
    <col min="1" max="1" width="16.83203125" customWidth="1"/>
  </cols>
  <sheetData>
    <row r="1" spans="1:9">
      <c r="A1" s="8" t="s">
        <v>21</v>
      </c>
      <c r="B1" s="8"/>
      <c r="C1" s="8"/>
      <c r="D1" s="8"/>
      <c r="E1" s="8"/>
      <c r="F1" s="8"/>
      <c r="G1" s="8"/>
    </row>
    <row r="2" spans="1:9">
      <c r="A2" s="8" t="s">
        <v>0</v>
      </c>
      <c r="B2" s="8"/>
      <c r="C2" s="8"/>
      <c r="D2" s="8"/>
      <c r="E2" s="11"/>
      <c r="F2" s="11"/>
      <c r="G2" s="11"/>
    </row>
    <row r="3" spans="1:9" ht="18" customHeight="1">
      <c r="A3" s="8"/>
      <c r="B3" s="9" t="s">
        <v>2</v>
      </c>
      <c r="C3" s="9"/>
      <c r="D3" s="9" t="s">
        <v>3</v>
      </c>
      <c r="E3" s="9"/>
      <c r="F3" s="9" t="s">
        <v>5</v>
      </c>
      <c r="G3" s="9"/>
      <c r="H3" s="12"/>
    </row>
    <row r="4" spans="1:9" ht="20" customHeight="1">
      <c r="A4" s="11"/>
      <c r="B4" s="8" t="s">
        <v>38</v>
      </c>
      <c r="C4" s="8" t="s">
        <v>39</v>
      </c>
      <c r="D4" s="8" t="s">
        <v>38</v>
      </c>
      <c r="E4" s="8" t="s">
        <v>39</v>
      </c>
      <c r="F4" s="8" t="s">
        <v>38</v>
      </c>
      <c r="G4" s="8" t="s">
        <v>39</v>
      </c>
    </row>
    <row r="5" spans="1:9" ht="21">
      <c r="A5" s="11" t="s">
        <v>33</v>
      </c>
      <c r="B5" s="11">
        <v>142</v>
      </c>
      <c r="C5" s="13">
        <v>0.10291</v>
      </c>
      <c r="D5" s="11">
        <v>115</v>
      </c>
      <c r="E5" s="13">
        <v>0.10627</v>
      </c>
      <c r="F5" s="11">
        <v>27</v>
      </c>
      <c r="G5" s="14">
        <v>9.085E-2</v>
      </c>
      <c r="H5" s="2"/>
      <c r="I5" s="2"/>
    </row>
    <row r="6" spans="1:9" ht="18">
      <c r="A6" s="11" t="s">
        <v>34</v>
      </c>
      <c r="B6" s="11">
        <v>283</v>
      </c>
      <c r="C6" s="13">
        <v>0.19572999999999999</v>
      </c>
      <c r="D6" s="11">
        <v>224</v>
      </c>
      <c r="E6" s="13">
        <v>0.20163</v>
      </c>
      <c r="F6" s="11">
        <v>59</v>
      </c>
      <c r="G6" s="14">
        <v>0.17460999999999999</v>
      </c>
      <c r="H6" s="3"/>
      <c r="I6" s="3"/>
    </row>
    <row r="7" spans="1:9" ht="18">
      <c r="A7" s="11" t="s">
        <v>35</v>
      </c>
      <c r="B7" s="11">
        <v>502</v>
      </c>
      <c r="C7" s="13">
        <v>0.37846000000000002</v>
      </c>
      <c r="D7" s="11">
        <v>389</v>
      </c>
      <c r="E7" s="13">
        <v>0.36992999999999998</v>
      </c>
      <c r="F7" s="11">
        <v>113</v>
      </c>
      <c r="G7" s="14">
        <v>0.40900999999999998</v>
      </c>
      <c r="I7" s="3"/>
    </row>
    <row r="8" spans="1:9" ht="18">
      <c r="A8" s="11" t="s">
        <v>36</v>
      </c>
      <c r="B8" s="11">
        <v>351</v>
      </c>
      <c r="C8" s="13">
        <v>0.25028</v>
      </c>
      <c r="D8" s="11">
        <v>265</v>
      </c>
      <c r="E8" s="13">
        <v>0.24421999999999999</v>
      </c>
      <c r="F8" s="11">
        <v>86</v>
      </c>
      <c r="G8" s="14">
        <v>0.27195000000000003</v>
      </c>
      <c r="I8" s="3"/>
    </row>
    <row r="9" spans="1:9" ht="18">
      <c r="A9" s="11" t="s">
        <v>37</v>
      </c>
      <c r="B9" s="11">
        <v>83</v>
      </c>
      <c r="C9" s="13">
        <v>7.2620000000000004E-2</v>
      </c>
      <c r="D9" s="11">
        <v>70</v>
      </c>
      <c r="E9" s="14">
        <v>7.7950000000000005E-2</v>
      </c>
      <c r="F9" s="11">
        <v>13</v>
      </c>
      <c r="G9" s="14">
        <v>5.357E-2</v>
      </c>
      <c r="I9" s="3"/>
    </row>
    <row r="10" spans="1:9" ht="18">
      <c r="A10" s="10" t="s">
        <v>62</v>
      </c>
      <c r="B10" s="11">
        <v>1395</v>
      </c>
      <c r="D10" s="11">
        <v>1091</v>
      </c>
      <c r="E10" s="3"/>
      <c r="F10" s="11">
        <v>304</v>
      </c>
      <c r="G10" s="3"/>
      <c r="I10" s="3"/>
    </row>
    <row r="11" spans="1:9" ht="18">
      <c r="E11" s="4"/>
      <c r="G11" s="3"/>
      <c r="I11" s="3"/>
    </row>
    <row r="12" spans="1:9" ht="18">
      <c r="G12" s="3"/>
      <c r="H12" s="3"/>
      <c r="I12" s="3"/>
    </row>
    <row r="13" spans="1:9" ht="18">
      <c r="G13" s="3"/>
    </row>
    <row r="14" spans="1:9" ht="17">
      <c r="G14" s="4"/>
    </row>
    <row r="16" spans="1:9" ht="21">
      <c r="F16" s="2"/>
      <c r="G16" s="2"/>
      <c r="H16" s="2"/>
    </row>
    <row r="17" spans="6:8" ht="18">
      <c r="F17" s="3"/>
      <c r="G17" s="3"/>
      <c r="H17" s="3"/>
    </row>
    <row r="18" spans="6:8" ht="18">
      <c r="F18" s="3"/>
      <c r="H18" s="3"/>
    </row>
    <row r="19" spans="6:8" ht="18">
      <c r="F19" s="3"/>
      <c r="H19" s="3"/>
    </row>
    <row r="20" spans="6:8" ht="18">
      <c r="F20" s="3"/>
      <c r="H20" s="3"/>
    </row>
    <row r="21" spans="6:8" ht="18">
      <c r="F21" s="3"/>
      <c r="H21" s="3"/>
    </row>
    <row r="22" spans="6:8" ht="18">
      <c r="F22" s="3"/>
      <c r="H22" s="3"/>
    </row>
    <row r="23" spans="6:8" ht="18">
      <c r="F23" s="3"/>
      <c r="G23" s="3"/>
      <c r="H23" s="3"/>
    </row>
    <row r="24" spans="6:8" ht="18">
      <c r="F24" s="3"/>
    </row>
    <row r="25" spans="6:8" ht="17">
      <c r="F25" s="4"/>
    </row>
  </sheetData>
  <mergeCells count="3">
    <mergeCell ref="B3:C3"/>
    <mergeCell ref="D3:E3"/>
    <mergeCell ref="F3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9F65A-0602-564D-934A-55F0E71D2B5A}">
  <dimension ref="A1:I75"/>
  <sheetViews>
    <sheetView workbookViewId="0">
      <selection activeCell="B23" sqref="B23"/>
    </sheetView>
  </sheetViews>
  <sheetFormatPr baseColWidth="10" defaultRowHeight="16"/>
  <cols>
    <col min="1" max="1" width="42.83203125" customWidth="1"/>
    <col min="2" max="2" width="22.83203125" customWidth="1"/>
    <col min="3" max="3" width="18.5" bestFit="1" customWidth="1"/>
    <col min="6" max="6" width="24.33203125" customWidth="1"/>
  </cols>
  <sheetData>
    <row r="1" spans="1:9">
      <c r="A1" t="s">
        <v>22</v>
      </c>
    </row>
    <row r="2" spans="1:9" ht="21">
      <c r="A2" t="s">
        <v>0</v>
      </c>
      <c r="F2" s="2"/>
      <c r="G2" s="2"/>
      <c r="H2" s="2"/>
    </row>
    <row r="3" spans="1:9" ht="18">
      <c r="B3" s="1" t="s">
        <v>3</v>
      </c>
      <c r="C3" s="1" t="s">
        <v>5</v>
      </c>
      <c r="F3" s="3"/>
      <c r="G3" s="3"/>
      <c r="H3" s="3"/>
    </row>
    <row r="4" spans="1:9" ht="18">
      <c r="A4" s="3" t="s">
        <v>40</v>
      </c>
      <c r="B4" s="15">
        <v>0.23047000000000001</v>
      </c>
      <c r="C4" s="15">
        <v>0.31568999999999997</v>
      </c>
      <c r="F4" s="3"/>
      <c r="G4" s="3"/>
      <c r="H4" s="7"/>
      <c r="I4" s="5"/>
    </row>
    <row r="5" spans="1:9" ht="18">
      <c r="A5" s="3" t="s">
        <v>41</v>
      </c>
      <c r="B5" s="15">
        <v>0.36016000000000004</v>
      </c>
      <c r="C5" s="15">
        <v>0.46399999999999997</v>
      </c>
      <c r="F5" s="3"/>
      <c r="G5" s="3"/>
      <c r="H5" s="7"/>
      <c r="I5" s="5"/>
    </row>
    <row r="6" spans="1:9" ht="18">
      <c r="A6" s="3" t="s">
        <v>42</v>
      </c>
      <c r="B6" s="15">
        <v>0.3463</v>
      </c>
      <c r="C6" s="15">
        <v>0.44241000000000003</v>
      </c>
      <c r="F6" s="3"/>
      <c r="G6" s="3"/>
      <c r="H6" s="7"/>
    </row>
    <row r="7" spans="1:9" ht="18">
      <c r="A7" s="3" t="s">
        <v>43</v>
      </c>
      <c r="B7" s="15">
        <v>0.30208999999999997</v>
      </c>
      <c r="C7" s="15">
        <v>0.34012999999999999</v>
      </c>
      <c r="F7" s="3"/>
      <c r="G7" s="3"/>
      <c r="H7" s="7"/>
    </row>
    <row r="8" spans="1:9" ht="18">
      <c r="A8" s="3" t="s">
        <v>44</v>
      </c>
      <c r="B8" s="15">
        <v>0.29763000000000001</v>
      </c>
      <c r="C8" s="15">
        <v>0.36147000000000001</v>
      </c>
      <c r="F8" s="3"/>
      <c r="G8" s="3"/>
      <c r="H8" s="3"/>
    </row>
    <row r="9" spans="1:9" ht="18">
      <c r="A9" s="3" t="s">
        <v>45</v>
      </c>
      <c r="B9" s="15">
        <v>0.32040999999999997</v>
      </c>
      <c r="C9" s="15">
        <v>0.32784999999999997</v>
      </c>
      <c r="F9" s="3"/>
      <c r="G9" s="3"/>
      <c r="H9" s="3"/>
    </row>
    <row r="10" spans="1:9" ht="18">
      <c r="A10" s="3" t="s">
        <v>46</v>
      </c>
      <c r="B10" s="15">
        <v>0.36711000000000005</v>
      </c>
      <c r="C10" s="15">
        <v>0.40632999999999997</v>
      </c>
      <c r="F10" s="3"/>
      <c r="G10" s="3"/>
      <c r="H10" s="7"/>
      <c r="I10" s="5"/>
    </row>
    <row r="11" spans="1:9" ht="18">
      <c r="A11" s="3" t="s">
        <v>47</v>
      </c>
      <c r="B11" s="15">
        <v>0.33353999999999995</v>
      </c>
      <c r="C11" s="15">
        <v>0.36336000000000002</v>
      </c>
      <c r="F11" s="3"/>
      <c r="G11" s="3"/>
      <c r="H11" s="7"/>
    </row>
    <row r="12" spans="1:9" ht="18">
      <c r="A12" s="3" t="s">
        <v>48</v>
      </c>
      <c r="B12" s="15">
        <v>0.18787999999999999</v>
      </c>
      <c r="C12" s="15">
        <v>0.2321</v>
      </c>
      <c r="F12" s="3"/>
      <c r="G12" s="3"/>
      <c r="H12" s="7"/>
    </row>
    <row r="13" spans="1:9" ht="18">
      <c r="A13" s="3" t="s">
        <v>49</v>
      </c>
      <c r="B13" s="15">
        <v>0.39793000000000001</v>
      </c>
      <c r="C13" s="15">
        <v>0.44583</v>
      </c>
      <c r="F13" s="3"/>
      <c r="G13" s="3"/>
      <c r="H13" s="7"/>
    </row>
    <row r="14" spans="1:9" ht="18">
      <c r="A14" s="3" t="s">
        <v>50</v>
      </c>
      <c r="B14" s="15">
        <v>0.11043</v>
      </c>
      <c r="C14" s="15">
        <v>0.11899</v>
      </c>
      <c r="F14" s="3"/>
      <c r="G14" s="3"/>
      <c r="H14" s="3"/>
    </row>
    <row r="15" spans="1:9" ht="18">
      <c r="A15" s="3" t="s">
        <v>51</v>
      </c>
      <c r="B15" s="15">
        <v>0.16369</v>
      </c>
      <c r="C15" s="15">
        <v>0.25183</v>
      </c>
      <c r="F15" s="3"/>
      <c r="G15" s="3"/>
      <c r="H15" s="3"/>
    </row>
    <row r="16" spans="1:9" ht="18">
      <c r="F16" s="3"/>
      <c r="G16" s="3"/>
      <c r="H16" s="7"/>
      <c r="I16" s="5"/>
    </row>
    <row r="17" spans="1:9" ht="18">
      <c r="A17" s="21" t="s">
        <v>62</v>
      </c>
      <c r="B17" s="10">
        <v>1091</v>
      </c>
      <c r="C17" s="10">
        <v>304</v>
      </c>
      <c r="F17" s="3"/>
      <c r="G17" s="3"/>
      <c r="H17" s="7"/>
    </row>
    <row r="18" spans="1:9" ht="18">
      <c r="F18" s="3"/>
      <c r="G18" s="3"/>
      <c r="H18" s="7"/>
    </row>
    <row r="19" spans="1:9" ht="18">
      <c r="F19" s="3"/>
      <c r="G19" s="3"/>
      <c r="H19" s="7"/>
    </row>
    <row r="20" spans="1:9" ht="18">
      <c r="F20" s="3"/>
      <c r="G20" s="3"/>
      <c r="H20" s="3"/>
    </row>
    <row r="21" spans="1:9" ht="18">
      <c r="F21" s="3"/>
      <c r="G21" s="3"/>
      <c r="H21" s="7"/>
      <c r="I21" s="5"/>
    </row>
    <row r="22" spans="1:9" ht="18">
      <c r="F22" s="3"/>
      <c r="G22" s="3"/>
      <c r="H22" s="7"/>
      <c r="I22" s="5"/>
    </row>
    <row r="23" spans="1:9" ht="18">
      <c r="F23" s="3"/>
      <c r="G23" s="3"/>
      <c r="H23" s="7"/>
    </row>
    <row r="24" spans="1:9" ht="18">
      <c r="F24" s="3"/>
      <c r="G24" s="3"/>
      <c r="H24" s="7"/>
    </row>
    <row r="25" spans="1:9" ht="18">
      <c r="F25" s="3"/>
      <c r="G25" s="3"/>
      <c r="H25" s="3"/>
    </row>
    <row r="26" spans="1:9" ht="18">
      <c r="F26" s="3"/>
      <c r="G26" s="3"/>
      <c r="H26" s="3"/>
    </row>
    <row r="27" spans="1:9" ht="18">
      <c r="F27" s="3"/>
      <c r="G27" s="3"/>
      <c r="H27" s="7"/>
      <c r="I27" s="5"/>
    </row>
    <row r="28" spans="1:9" ht="18">
      <c r="F28" s="3"/>
      <c r="G28" s="3"/>
      <c r="H28" s="7"/>
      <c r="I28" s="5"/>
    </row>
    <row r="29" spans="1:9" ht="18">
      <c r="F29" s="3"/>
      <c r="G29" s="3"/>
      <c r="H29" s="7"/>
    </row>
    <row r="30" spans="1:9" ht="18">
      <c r="F30" s="3"/>
      <c r="G30" s="3"/>
      <c r="H30" s="7"/>
    </row>
    <row r="31" spans="1:9" ht="18">
      <c r="F31" s="3"/>
      <c r="G31" s="3"/>
      <c r="H31" s="3"/>
    </row>
    <row r="32" spans="1:9" ht="18">
      <c r="F32" s="3"/>
      <c r="G32" s="3"/>
      <c r="H32" s="3"/>
    </row>
    <row r="33" spans="6:9" ht="18">
      <c r="F33" s="3"/>
      <c r="G33" s="3"/>
      <c r="H33" s="7"/>
      <c r="I33" s="5"/>
    </row>
    <row r="34" spans="6:9" ht="18">
      <c r="F34" s="3"/>
      <c r="G34" s="3"/>
      <c r="H34" s="7"/>
    </row>
    <row r="35" spans="6:9" ht="18">
      <c r="F35" s="3"/>
      <c r="G35" s="3"/>
      <c r="H35" s="7"/>
    </row>
    <row r="36" spans="6:9" ht="18">
      <c r="F36" s="3"/>
      <c r="G36" s="3"/>
      <c r="H36" s="7"/>
    </row>
    <row r="37" spans="6:9" ht="18">
      <c r="F37" s="3"/>
      <c r="G37" s="3"/>
      <c r="H37" s="3"/>
    </row>
    <row r="38" spans="6:9" ht="18">
      <c r="F38" s="3"/>
      <c r="G38" s="3"/>
      <c r="H38" s="3"/>
      <c r="I38" s="5"/>
    </row>
    <row r="39" spans="6:9" ht="18">
      <c r="F39" s="3"/>
      <c r="G39" s="3"/>
      <c r="H39" s="7"/>
      <c r="I39" s="5"/>
    </row>
    <row r="40" spans="6:9" ht="18">
      <c r="F40" s="3"/>
      <c r="G40" s="3"/>
      <c r="H40" s="7"/>
    </row>
    <row r="41" spans="6:9" ht="18">
      <c r="F41" s="3"/>
      <c r="G41" s="3"/>
      <c r="H41" s="7"/>
    </row>
    <row r="42" spans="6:9" ht="18">
      <c r="F42" s="3"/>
      <c r="G42" s="3"/>
      <c r="H42" s="7"/>
    </row>
    <row r="43" spans="6:9" ht="18">
      <c r="F43" s="3"/>
      <c r="G43" s="3"/>
      <c r="H43" s="3"/>
    </row>
    <row r="44" spans="6:9" ht="18">
      <c r="F44" s="3"/>
      <c r="G44" s="3"/>
      <c r="H44" s="3"/>
      <c r="I44" s="5"/>
    </row>
    <row r="45" spans="6:9" ht="18">
      <c r="F45" s="3"/>
      <c r="G45" s="3"/>
      <c r="H45" s="7"/>
      <c r="I45" s="5"/>
    </row>
    <row r="46" spans="6:9" ht="18">
      <c r="F46" s="3"/>
      <c r="G46" s="3"/>
      <c r="H46" s="7"/>
    </row>
    <row r="47" spans="6:9" ht="18">
      <c r="F47" s="3"/>
      <c r="G47" s="3"/>
      <c r="H47" s="7"/>
    </row>
    <row r="48" spans="6:9" ht="18">
      <c r="F48" s="3"/>
      <c r="G48" s="3"/>
      <c r="H48" s="7"/>
    </row>
    <row r="49" spans="6:9" ht="18">
      <c r="F49" s="3"/>
      <c r="G49" s="3"/>
      <c r="H49" s="3"/>
    </row>
    <row r="50" spans="6:9" ht="18">
      <c r="F50" s="3"/>
      <c r="G50" s="3"/>
      <c r="H50" s="3"/>
      <c r="I50" s="5"/>
    </row>
    <row r="51" spans="6:9" ht="18">
      <c r="F51" s="3"/>
      <c r="G51" s="3"/>
      <c r="H51" s="7"/>
      <c r="I51" s="5"/>
    </row>
    <row r="52" spans="6:9" ht="18">
      <c r="F52" s="3"/>
      <c r="G52" s="3"/>
      <c r="H52" s="7"/>
    </row>
    <row r="53" spans="6:9" ht="18">
      <c r="F53" s="3"/>
      <c r="G53" s="3"/>
      <c r="H53" s="7"/>
    </row>
    <row r="54" spans="6:9" ht="18">
      <c r="F54" s="3"/>
      <c r="G54" s="3"/>
      <c r="H54" s="7"/>
    </row>
    <row r="55" spans="6:9" ht="18">
      <c r="F55" s="3"/>
      <c r="G55" s="3"/>
      <c r="H55" s="3"/>
      <c r="I55" s="5"/>
    </row>
    <row r="56" spans="6:9" ht="18">
      <c r="F56" s="3"/>
      <c r="G56" s="3"/>
      <c r="H56" s="3"/>
    </row>
    <row r="57" spans="6:9" ht="18">
      <c r="F57" s="3"/>
      <c r="G57" s="3"/>
      <c r="H57" s="7"/>
      <c r="I57" s="5"/>
    </row>
    <row r="58" spans="6:9" ht="18">
      <c r="F58" s="3"/>
      <c r="G58" s="3"/>
      <c r="H58" s="7"/>
    </row>
    <row r="59" spans="6:9" ht="18">
      <c r="F59" s="3"/>
      <c r="G59" s="3"/>
      <c r="H59" s="7"/>
    </row>
    <row r="60" spans="6:9" ht="18">
      <c r="F60" s="3"/>
      <c r="G60" s="3"/>
      <c r="H60" s="7"/>
    </row>
    <row r="61" spans="6:9" ht="18">
      <c r="F61" s="3"/>
      <c r="G61" s="3"/>
      <c r="H61" s="3"/>
      <c r="I61" s="5"/>
    </row>
    <row r="62" spans="6:9" ht="18">
      <c r="F62" s="3"/>
      <c r="G62" s="3"/>
      <c r="H62" s="3"/>
    </row>
    <row r="63" spans="6:9" ht="18">
      <c r="F63" s="3"/>
      <c r="G63" s="3"/>
      <c r="H63" s="7"/>
      <c r="I63" s="5"/>
    </row>
    <row r="64" spans="6:9" ht="18">
      <c r="F64" s="3"/>
      <c r="G64" s="3"/>
      <c r="H64" s="7"/>
    </row>
    <row r="65" spans="6:9" ht="18">
      <c r="F65" s="3"/>
      <c r="G65" s="3"/>
      <c r="H65" s="7"/>
    </row>
    <row r="66" spans="6:9" ht="18">
      <c r="F66" s="3"/>
      <c r="G66" s="3"/>
      <c r="H66" s="7"/>
    </row>
    <row r="67" spans="6:9" ht="18">
      <c r="F67" s="3"/>
      <c r="G67" s="3"/>
      <c r="H67" s="3"/>
      <c r="I67" s="5"/>
    </row>
    <row r="68" spans="6:9" ht="18">
      <c r="F68" s="3"/>
      <c r="G68" s="3"/>
      <c r="H68" s="3"/>
    </row>
    <row r="69" spans="6:9" ht="18">
      <c r="F69" s="3"/>
      <c r="G69" s="3"/>
      <c r="H69" s="7"/>
      <c r="I69" s="5"/>
    </row>
    <row r="70" spans="6:9" ht="18">
      <c r="F70" s="3"/>
      <c r="G70" s="3"/>
      <c r="H70" s="7"/>
    </row>
    <row r="71" spans="6:9" ht="18">
      <c r="F71" s="3"/>
      <c r="G71" s="3"/>
      <c r="H71" s="7"/>
    </row>
    <row r="72" spans="6:9" ht="18">
      <c r="F72" s="3"/>
      <c r="G72" s="3"/>
      <c r="H72" s="7"/>
    </row>
    <row r="73" spans="6:9" ht="18">
      <c r="F73" s="3"/>
      <c r="G73" s="3"/>
      <c r="H73" s="3"/>
    </row>
    <row r="74" spans="6:9" ht="18">
      <c r="F74" s="3"/>
    </row>
    <row r="75" spans="6:9" ht="17">
      <c r="F75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5EB9-7B2A-A541-9FA4-447680740688}">
  <dimension ref="A1:I8"/>
  <sheetViews>
    <sheetView workbookViewId="0">
      <selection activeCell="H9" sqref="H9"/>
    </sheetView>
  </sheetViews>
  <sheetFormatPr baseColWidth="10" defaultRowHeight="16"/>
  <cols>
    <col min="1" max="1" width="30.6640625" customWidth="1"/>
    <col min="2" max="2" width="13.1640625" bestFit="1" customWidth="1"/>
    <col min="3" max="3" width="9.83203125" bestFit="1" customWidth="1"/>
    <col min="4" max="4" width="11" bestFit="1" customWidth="1"/>
    <col min="5" max="5" width="13.1640625" bestFit="1" customWidth="1"/>
    <col min="6" max="6" width="9.83203125" bestFit="1" customWidth="1"/>
    <col min="7" max="7" width="11" bestFit="1" customWidth="1"/>
  </cols>
  <sheetData>
    <row r="1" spans="1:9">
      <c r="A1" t="s">
        <v>24</v>
      </c>
    </row>
    <row r="2" spans="1:9">
      <c r="A2" t="s">
        <v>0</v>
      </c>
    </row>
    <row r="3" spans="1:9">
      <c r="B3" s="6" t="s">
        <v>25</v>
      </c>
      <c r="C3" s="6"/>
      <c r="D3" s="6"/>
      <c r="E3" s="6" t="s">
        <v>29</v>
      </c>
      <c r="F3" s="6"/>
      <c r="G3" s="6"/>
    </row>
    <row r="4" spans="1:9">
      <c r="B4" s="1" t="s">
        <v>26</v>
      </c>
      <c r="C4" s="1" t="s">
        <v>27</v>
      </c>
      <c r="D4" s="1" t="s">
        <v>28</v>
      </c>
      <c r="E4" s="1" t="s">
        <v>26</v>
      </c>
      <c r="F4" s="1" t="s">
        <v>27</v>
      </c>
      <c r="G4" s="1" t="s">
        <v>28</v>
      </c>
      <c r="I4" s="1" t="s">
        <v>62</v>
      </c>
    </row>
    <row r="5" spans="1:9">
      <c r="A5" t="s">
        <v>11</v>
      </c>
      <c r="B5" s="16">
        <v>48.735999999999997</v>
      </c>
      <c r="C5" s="16">
        <v>32.531999999999996</v>
      </c>
      <c r="D5" s="16">
        <v>35.950000000000003</v>
      </c>
      <c r="E5" s="16">
        <v>24.385999999999999</v>
      </c>
      <c r="F5" s="16">
        <v>17.523</v>
      </c>
      <c r="G5" s="16">
        <v>21.177</v>
      </c>
      <c r="I5" s="16">
        <v>1156</v>
      </c>
    </row>
    <row r="6" spans="1:9">
      <c r="A6" t="s">
        <v>30</v>
      </c>
      <c r="B6" s="16">
        <v>57.46</v>
      </c>
      <c r="C6" s="16">
        <v>65.23</v>
      </c>
      <c r="D6" s="16">
        <v>48.372</v>
      </c>
      <c r="E6" s="16">
        <v>41.889000000000003</v>
      </c>
      <c r="F6" s="16">
        <v>42.045000000000002</v>
      </c>
      <c r="G6" s="16">
        <v>34.673999999999999</v>
      </c>
      <c r="I6" s="16">
        <v>116</v>
      </c>
    </row>
    <row r="7" spans="1:9">
      <c r="A7" t="s">
        <v>31</v>
      </c>
      <c r="B7" s="16">
        <v>56.872999999999998</v>
      </c>
      <c r="C7" s="16">
        <v>46.768000000000001</v>
      </c>
      <c r="D7" s="16">
        <v>35.683999999999997</v>
      </c>
      <c r="E7" s="16">
        <v>30.693000000000001</v>
      </c>
      <c r="F7" s="16">
        <v>29.591999999999999</v>
      </c>
      <c r="G7" s="16">
        <v>35.640999999999998</v>
      </c>
      <c r="I7" s="16">
        <v>134</v>
      </c>
    </row>
    <row r="8" spans="1:9">
      <c r="A8" t="s">
        <v>32</v>
      </c>
      <c r="B8" s="16">
        <v>44.813000000000002</v>
      </c>
      <c r="C8" s="16">
        <v>45.523000000000003</v>
      </c>
      <c r="D8" s="16">
        <v>38.691000000000003</v>
      </c>
      <c r="E8" s="16">
        <v>27.667999999999999</v>
      </c>
      <c r="F8" s="16">
        <v>34.720999999999997</v>
      </c>
      <c r="G8" s="16">
        <v>29.983000000000001</v>
      </c>
      <c r="I8" s="16">
        <v>1091</v>
      </c>
    </row>
  </sheetData>
  <mergeCells count="2">
    <mergeCell ref="B3:D3"/>
    <mergeCell ref="E3:G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E954-7940-6947-A2BC-22F81C3EC1B1}">
  <dimension ref="A1:L35"/>
  <sheetViews>
    <sheetView workbookViewId="0">
      <selection activeCell="A16" sqref="A16"/>
    </sheetView>
  </sheetViews>
  <sheetFormatPr baseColWidth="10" defaultRowHeight="16"/>
  <sheetData>
    <row r="1" spans="1:12" ht="21">
      <c r="A1" t="s">
        <v>23</v>
      </c>
      <c r="G1" s="18"/>
      <c r="H1" s="2"/>
      <c r="I1" s="18"/>
      <c r="J1" s="2"/>
      <c r="K1" s="18"/>
      <c r="L1" s="18"/>
    </row>
    <row r="2" spans="1:12" ht="21">
      <c r="A2" t="s">
        <v>0</v>
      </c>
      <c r="G2" s="18"/>
      <c r="H2" s="17"/>
      <c r="J2" s="17"/>
      <c r="K2" s="18"/>
      <c r="L2" s="18"/>
    </row>
    <row r="3" spans="1:12" ht="18">
      <c r="B3" s="1" t="s">
        <v>2</v>
      </c>
      <c r="H3" s="3"/>
      <c r="J3" s="3"/>
      <c r="K3" s="3"/>
      <c r="L3" s="3"/>
    </row>
    <row r="4" spans="1:12" ht="18">
      <c r="A4" s="3" t="s">
        <v>61</v>
      </c>
      <c r="B4" s="20">
        <v>0.47543999999999997</v>
      </c>
      <c r="G4" s="3"/>
      <c r="H4" s="19"/>
      <c r="I4" s="3"/>
      <c r="J4" s="3"/>
      <c r="K4" s="3"/>
      <c r="L4" s="3"/>
    </row>
    <row r="5" spans="1:12" ht="18">
      <c r="A5" s="3" t="s">
        <v>57</v>
      </c>
      <c r="B5" s="20">
        <v>0.29205999999999999</v>
      </c>
      <c r="J5" s="3"/>
      <c r="K5" s="3"/>
      <c r="L5" s="3"/>
    </row>
    <row r="6" spans="1:12" ht="18">
      <c r="A6" s="3" t="s">
        <v>54</v>
      </c>
      <c r="B6" s="20">
        <v>0.19292000000000001</v>
      </c>
      <c r="J6" s="3"/>
      <c r="K6" s="3"/>
      <c r="L6" s="3"/>
    </row>
    <row r="7" spans="1:12" ht="18">
      <c r="A7" s="3" t="s">
        <v>55</v>
      </c>
      <c r="B7" s="20">
        <v>0.16525999999999999</v>
      </c>
      <c r="J7" s="3"/>
      <c r="K7" s="3"/>
      <c r="L7" s="3"/>
    </row>
    <row r="8" spans="1:12" ht="18">
      <c r="A8" s="3" t="s">
        <v>52</v>
      </c>
      <c r="B8" s="20">
        <v>0.15345</v>
      </c>
      <c r="J8" s="3"/>
      <c r="K8" s="3"/>
      <c r="L8" s="3"/>
    </row>
    <row r="9" spans="1:12" ht="18">
      <c r="A9" s="3" t="s">
        <v>56</v>
      </c>
      <c r="B9" s="20">
        <v>0.13647000000000001</v>
      </c>
      <c r="J9" s="3"/>
      <c r="K9" s="3"/>
      <c r="L9" s="3"/>
    </row>
    <row r="10" spans="1:12" ht="18">
      <c r="A10" s="3" t="s">
        <v>53</v>
      </c>
      <c r="B10" s="20">
        <v>0.11129</v>
      </c>
      <c r="J10" s="3"/>
      <c r="K10" s="3"/>
      <c r="L10" s="3"/>
    </row>
    <row r="11" spans="1:12" ht="18">
      <c r="A11" s="3" t="s">
        <v>60</v>
      </c>
      <c r="B11" s="20">
        <v>3.7130000000000003E-2</v>
      </c>
      <c r="J11" s="3"/>
      <c r="K11" s="3"/>
      <c r="L11" s="3"/>
    </row>
    <row r="12" spans="1:12" ht="18">
      <c r="A12" s="3" t="s">
        <v>59</v>
      </c>
      <c r="B12" s="20">
        <v>3.6220000000000002E-2</v>
      </c>
      <c r="J12" s="3"/>
      <c r="K12" s="3"/>
      <c r="L12" s="3"/>
    </row>
    <row r="13" spans="1:12" ht="18">
      <c r="A13" s="3" t="s">
        <v>58</v>
      </c>
      <c r="B13" s="20">
        <v>1.636E-2</v>
      </c>
      <c r="J13" s="3"/>
      <c r="K13" s="3"/>
      <c r="L13" s="3"/>
    </row>
    <row r="14" spans="1:12" ht="18">
      <c r="J14" s="3"/>
      <c r="K14" s="3"/>
      <c r="L14" s="3"/>
    </row>
    <row r="15" spans="1:12" ht="18">
      <c r="A15" s="3" t="s">
        <v>63</v>
      </c>
      <c r="J15" s="3"/>
      <c r="K15" s="3"/>
      <c r="L15" s="3"/>
    </row>
    <row r="16" spans="1:12" ht="18">
      <c r="J16" s="3"/>
      <c r="K16" s="3"/>
      <c r="L16" s="3"/>
    </row>
    <row r="17" spans="7:12" ht="18">
      <c r="J17" s="3"/>
      <c r="K17" s="3"/>
      <c r="L17" s="3"/>
    </row>
    <row r="18" spans="7:12" ht="18">
      <c r="J18" s="3"/>
      <c r="K18" s="3"/>
      <c r="L18" s="3"/>
    </row>
    <row r="19" spans="7:12" ht="18">
      <c r="J19" s="3"/>
      <c r="K19" s="3"/>
      <c r="L19" s="3"/>
    </row>
    <row r="20" spans="7:12" ht="18">
      <c r="J20" s="3"/>
      <c r="K20" s="3"/>
      <c r="L20" s="3"/>
    </row>
    <row r="21" spans="7:12" ht="18">
      <c r="J21" s="3"/>
      <c r="K21" s="3"/>
      <c r="L21" s="3"/>
    </row>
    <row r="22" spans="7:12" ht="18">
      <c r="J22" s="3"/>
      <c r="K22" s="3"/>
      <c r="L22" s="3"/>
    </row>
    <row r="23" spans="7:12" ht="18">
      <c r="J23" s="3"/>
      <c r="K23" s="3"/>
      <c r="L23" s="3"/>
    </row>
    <row r="24" spans="7:12" ht="18">
      <c r="J24" s="3"/>
      <c r="K24" s="3"/>
      <c r="L24" s="3"/>
    </row>
    <row r="25" spans="7:12" ht="18">
      <c r="J25" s="3"/>
      <c r="K25" s="3"/>
      <c r="L25" s="3"/>
    </row>
    <row r="26" spans="7:12" ht="18">
      <c r="J26" s="3"/>
      <c r="K26" s="3"/>
      <c r="L26" s="3"/>
    </row>
    <row r="27" spans="7:12" ht="18">
      <c r="J27" s="3"/>
      <c r="K27" s="3"/>
      <c r="L27" s="3"/>
    </row>
    <row r="28" spans="7:12" ht="18">
      <c r="J28" s="3"/>
      <c r="K28" s="3"/>
      <c r="L28" s="3"/>
    </row>
    <row r="29" spans="7:12" ht="18">
      <c r="J29" s="3"/>
      <c r="K29" s="3"/>
      <c r="L29" s="3"/>
    </row>
    <row r="30" spans="7:12" ht="18">
      <c r="J30" s="3"/>
      <c r="K30" s="3"/>
      <c r="L30" s="3"/>
    </row>
    <row r="31" spans="7:12" ht="18">
      <c r="J31" s="3"/>
      <c r="K31" s="3"/>
      <c r="L31" s="3"/>
    </row>
    <row r="32" spans="7:12" ht="18">
      <c r="G32" s="3"/>
      <c r="H32" s="3"/>
      <c r="I32" s="7"/>
      <c r="J32" s="3"/>
      <c r="K32" s="3"/>
      <c r="L32" s="3"/>
    </row>
    <row r="33" spans="7:7" ht="18">
      <c r="G33" s="3"/>
    </row>
    <row r="34" spans="7:7" ht="17">
      <c r="G34" s="4"/>
    </row>
    <row r="35" spans="7:7" ht="17">
      <c r="G35" s="4"/>
    </row>
  </sheetData>
  <autoFilter ref="A3:B13" xr:uid="{0F58E954-7940-6947-A2BC-22F81C3EC1B1}">
    <sortState xmlns:xlrd2="http://schemas.microsoft.com/office/spreadsheetml/2017/richdata2" ref="A4:B13">
      <sortCondition descending="1" ref="B3:B13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RaceTotals</vt:lpstr>
      <vt:lpstr>Figure 1</vt:lpstr>
      <vt:lpstr>Sheet7</vt:lpstr>
      <vt:lpstr>Figure 2</vt:lpstr>
      <vt:lpstr>Figure 3</vt:lpstr>
      <vt:lpstr>Figure 4</vt:lpstr>
      <vt:lpstr>Figure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Barnard-Mayers, Ruby</dc:creator>
  <cp:lastModifiedBy>Barnard-Mayers, Ruby</cp:lastModifiedBy>
  <dcterms:created xsi:type="dcterms:W3CDTF">2026-08-26T14:55:21Z</dcterms:created>
  <dcterms:modified xsi:type="dcterms:W3CDTF">2026-08-26T18:08:34Z</dcterms:modified>
</cp:coreProperties>
</file>