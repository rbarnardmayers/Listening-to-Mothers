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ocuments/2025-2026/LTM/Listening-to-Mothers/Black Moms/"/>
    </mc:Choice>
  </mc:AlternateContent>
  <xr:revisionPtr revIDLastSave="0" documentId="8_{0DB1DD94-3F2B-3549-8E6E-31F5CFC1D1B0}" xr6:coauthVersionLast="47" xr6:coauthVersionMax="47" xr10:uidLastSave="{00000000-0000-0000-0000-000000000000}"/>
  <bookViews>
    <workbookView xWindow="9220" yWindow="660" windowWidth="12680" windowHeight="17160" xr2:uid="{719C6D06-E146-C449-B7AA-A19FDDB9A185}"/>
  </bookViews>
  <sheets>
    <sheet name="RaceTot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E9" i="1" s="1"/>
  <c r="E10" i="1" s="1"/>
  <c r="D8" i="1"/>
  <c r="D28" i="1"/>
  <c r="C28" i="1"/>
  <c r="E22" i="1"/>
  <c r="D22" i="1"/>
  <c r="C22" i="1"/>
  <c r="D16" i="1"/>
  <c r="C16" i="1"/>
  <c r="D10" i="1"/>
  <c r="C10" i="1"/>
  <c r="B28" i="1"/>
  <c r="B22" i="1"/>
  <c r="B16" i="1"/>
  <c r="B10" i="1"/>
  <c r="E27" i="1"/>
  <c r="E28" i="1" s="1"/>
  <c r="E26" i="1"/>
  <c r="E21" i="1"/>
  <c r="E20" i="1"/>
  <c r="E15" i="1"/>
  <c r="E16" i="1" s="1"/>
  <c r="E14" i="1"/>
  <c r="E8" i="1"/>
  <c r="E4" i="1"/>
  <c r="E3" i="1"/>
  <c r="E2" i="1"/>
  <c r="D4" i="1"/>
  <c r="C4" i="1"/>
  <c r="B4" i="1"/>
</calcChain>
</file>

<file path=xl/sharedStrings.xml><?xml version="1.0" encoding="utf-8"?>
<sst xmlns="http://schemas.openxmlformats.org/spreadsheetml/2006/main" count="35" uniqueCount="19">
  <si>
    <t>Q1</t>
  </si>
  <si>
    <t>Q2</t>
  </si>
  <si>
    <t>Any Black</t>
  </si>
  <si>
    <t>Black Alone</t>
  </si>
  <si>
    <t>Total</t>
  </si>
  <si>
    <t>Black in Combination</t>
  </si>
  <si>
    <t>AIAN in Combination</t>
  </si>
  <si>
    <t>Any Asian</t>
  </si>
  <si>
    <t>Asian Alone</t>
  </si>
  <si>
    <t>Asian in Combination</t>
  </si>
  <si>
    <t>Any White</t>
  </si>
  <si>
    <t>White Alone</t>
  </si>
  <si>
    <t>White in Combination</t>
  </si>
  <si>
    <t>Any AIAN/NHPI</t>
  </si>
  <si>
    <t>AIAN-NHPI Alone</t>
  </si>
  <si>
    <t>Any Latina</t>
  </si>
  <si>
    <t>Latina Alone</t>
  </si>
  <si>
    <t>Latina in Combination</t>
  </si>
  <si>
    <t>Total Questionnaire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</si>
</sst>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23EC-3889-934A-B102-9AACF2E0E366}">
  <dimension ref="A1:E28"/>
  <sheetViews>
    <sheetView tabSelected="1" workbookViewId="0">
      <selection activeCell="A28" sqref="A28"/>
    </sheetView>
  </sheetViews>
  <sheetFormatPr baseColWidth="10" defaultRowHeight="16" x14ac:dyDescent="0.2"/>
  <cols>
    <col min="4" max="4" width="15.33203125" bestFit="1" customWidth="1"/>
    <col min="5" max="5" width="19.33203125" bestFit="1" customWidth="1"/>
  </cols>
  <sheetData>
    <row r="1" spans="1:5" x14ac:dyDescent="0.2">
      <c r="B1" s="1" t="s">
        <v>18</v>
      </c>
      <c r="C1" s="1" t="s">
        <v>2</v>
      </c>
      <c r="D1" s="1" t="s">
        <v>3</v>
      </c>
      <c r="E1" s="1" t="s">
        <v>5</v>
      </c>
    </row>
    <row r="2" spans="1:5" x14ac:dyDescent="0.2">
      <c r="A2" s="1" t="s">
        <v>0</v>
      </c>
      <c r="B2">
        <v>2819</v>
      </c>
      <c r="C2">
        <v>1139</v>
      </c>
      <c r="D2">
        <v>891</v>
      </c>
      <c r="E2">
        <f>C2-D2</f>
        <v>248</v>
      </c>
    </row>
    <row r="3" spans="1:5" x14ac:dyDescent="0.2">
      <c r="A3" s="1" t="s">
        <v>1</v>
      </c>
      <c r="B3">
        <v>1718</v>
      </c>
      <c r="C3">
        <v>477</v>
      </c>
      <c r="D3">
        <v>362</v>
      </c>
      <c r="E3">
        <f>C3-D3</f>
        <v>115</v>
      </c>
    </row>
    <row r="4" spans="1:5" x14ac:dyDescent="0.2">
      <c r="A4" s="1" t="s">
        <v>4</v>
      </c>
      <c r="B4" s="1">
        <f>SUM(B2:B3)</f>
        <v>4537</v>
      </c>
      <c r="C4" s="1">
        <f>SUM(C2:C3)</f>
        <v>1616</v>
      </c>
      <c r="D4" s="1">
        <f>SUM(D2:D3)</f>
        <v>1253</v>
      </c>
      <c r="E4" s="1">
        <f>SUM(E2:E3)</f>
        <v>363</v>
      </c>
    </row>
    <row r="7" spans="1:5" x14ac:dyDescent="0.2">
      <c r="B7" s="1" t="s">
        <v>18</v>
      </c>
      <c r="C7" s="1" t="s">
        <v>13</v>
      </c>
      <c r="D7" s="1" t="s">
        <v>14</v>
      </c>
      <c r="E7" s="1" t="s">
        <v>6</v>
      </c>
    </row>
    <row r="8" spans="1:5" x14ac:dyDescent="0.2">
      <c r="A8" s="1" t="s">
        <v>0</v>
      </c>
      <c r="B8">
        <v>2819</v>
      </c>
      <c r="C8">
        <v>238</v>
      </c>
      <c r="D8">
        <f>87+22</f>
        <v>109</v>
      </c>
      <c r="E8">
        <f>C8-D8</f>
        <v>129</v>
      </c>
    </row>
    <row r="9" spans="1:5" x14ac:dyDescent="0.2">
      <c r="A9" s="1" t="s">
        <v>1</v>
      </c>
      <c r="B9">
        <v>1718</v>
      </c>
      <c r="C9">
        <v>333</v>
      </c>
      <c r="D9">
        <f>168+36</f>
        <v>204</v>
      </c>
      <c r="E9">
        <f>C9-D9</f>
        <v>129</v>
      </c>
    </row>
    <row r="10" spans="1:5" x14ac:dyDescent="0.2">
      <c r="A10" s="1" t="s">
        <v>4</v>
      </c>
      <c r="B10" s="1">
        <f>SUM(B8:B9)</f>
        <v>4537</v>
      </c>
      <c r="C10" s="1">
        <f t="shared" ref="C10:E10" si="0">SUM(C8:C9)</f>
        <v>571</v>
      </c>
      <c r="D10" s="1">
        <f t="shared" si="0"/>
        <v>313</v>
      </c>
      <c r="E10" s="1">
        <f t="shared" si="0"/>
        <v>258</v>
      </c>
    </row>
    <row r="13" spans="1:5" x14ac:dyDescent="0.2">
      <c r="B13" s="1" t="s">
        <v>18</v>
      </c>
      <c r="C13" s="1" t="s">
        <v>7</v>
      </c>
      <c r="D13" s="1" t="s">
        <v>8</v>
      </c>
      <c r="E13" s="1" t="s">
        <v>9</v>
      </c>
    </row>
    <row r="14" spans="1:5" x14ac:dyDescent="0.2">
      <c r="A14" s="1" t="s">
        <v>0</v>
      </c>
      <c r="B14">
        <v>2819</v>
      </c>
      <c r="C14">
        <v>158</v>
      </c>
      <c r="D14">
        <v>114</v>
      </c>
      <c r="E14">
        <f>C14-D14</f>
        <v>44</v>
      </c>
    </row>
    <row r="15" spans="1:5" x14ac:dyDescent="0.2">
      <c r="A15" s="1" t="s">
        <v>1</v>
      </c>
      <c r="B15">
        <v>1718</v>
      </c>
      <c r="C15">
        <v>191</v>
      </c>
      <c r="D15">
        <v>124</v>
      </c>
      <c r="E15">
        <f>C15-D15</f>
        <v>67</v>
      </c>
    </row>
    <row r="16" spans="1:5" x14ac:dyDescent="0.2">
      <c r="A16" s="1" t="s">
        <v>4</v>
      </c>
      <c r="B16" s="1">
        <f>SUM(B14:B15)</f>
        <v>4537</v>
      </c>
      <c r="C16" s="1">
        <f t="shared" ref="C16:E16" si="1">SUM(C14:C15)</f>
        <v>349</v>
      </c>
      <c r="D16" s="1">
        <f t="shared" si="1"/>
        <v>238</v>
      </c>
      <c r="E16" s="1">
        <f t="shared" si="1"/>
        <v>111</v>
      </c>
    </row>
    <row r="19" spans="1:5" x14ac:dyDescent="0.2">
      <c r="B19" s="1" t="s">
        <v>18</v>
      </c>
      <c r="C19" s="1" t="s">
        <v>10</v>
      </c>
      <c r="D19" s="1" t="s">
        <v>11</v>
      </c>
      <c r="E19" s="1" t="s">
        <v>12</v>
      </c>
    </row>
    <row r="20" spans="1:5" x14ac:dyDescent="0.2">
      <c r="A20" s="1" t="s">
        <v>0</v>
      </c>
      <c r="B20">
        <v>2819</v>
      </c>
      <c r="C20">
        <v>1186</v>
      </c>
      <c r="D20">
        <v>788</v>
      </c>
      <c r="E20">
        <f>C20-D20</f>
        <v>398</v>
      </c>
    </row>
    <row r="21" spans="1:5" x14ac:dyDescent="0.2">
      <c r="A21" s="1" t="s">
        <v>1</v>
      </c>
      <c r="B21">
        <v>1718</v>
      </c>
      <c r="C21">
        <v>601</v>
      </c>
      <c r="D21">
        <v>370</v>
      </c>
      <c r="E21">
        <f>C21-D21</f>
        <v>231</v>
      </c>
    </row>
    <row r="22" spans="1:5" x14ac:dyDescent="0.2">
      <c r="A22" s="1" t="s">
        <v>4</v>
      </c>
      <c r="B22" s="1">
        <f>SUM(B20:B21)</f>
        <v>4537</v>
      </c>
      <c r="C22" s="1">
        <f t="shared" ref="C22:E22" si="2">SUM(C20:C21)</f>
        <v>1787</v>
      </c>
      <c r="D22" s="1">
        <f t="shared" si="2"/>
        <v>1158</v>
      </c>
      <c r="E22" s="1">
        <f t="shared" si="2"/>
        <v>629</v>
      </c>
    </row>
    <row r="25" spans="1:5" x14ac:dyDescent="0.2">
      <c r="B25" s="1" t="s">
        <v>18</v>
      </c>
      <c r="C25" s="1" t="s">
        <v>15</v>
      </c>
      <c r="D25" s="1" t="s">
        <v>16</v>
      </c>
      <c r="E25" s="1" t="s">
        <v>17</v>
      </c>
    </row>
    <row r="26" spans="1:5" x14ac:dyDescent="0.2">
      <c r="A26" s="1" t="s">
        <v>0</v>
      </c>
      <c r="B26">
        <v>2819</v>
      </c>
      <c r="C26">
        <v>662</v>
      </c>
      <c r="D26">
        <v>361</v>
      </c>
      <c r="E26">
        <f>C26-D26</f>
        <v>301</v>
      </c>
    </row>
    <row r="27" spans="1:5" x14ac:dyDescent="0.2">
      <c r="A27" s="1" t="s">
        <v>1</v>
      </c>
      <c r="B27">
        <v>1718</v>
      </c>
      <c r="C27">
        <v>514</v>
      </c>
      <c r="D27">
        <v>292</v>
      </c>
      <c r="E27">
        <f>C27-D27</f>
        <v>222</v>
      </c>
    </row>
    <row r="28" spans="1:5" x14ac:dyDescent="0.2">
      <c r="A28" s="1" t="s">
        <v>4</v>
      </c>
      <c r="B28" s="1">
        <f>SUM(B26:B27)</f>
        <v>4537</v>
      </c>
      <c r="C28" s="1">
        <f t="shared" ref="C28:E28" si="3">SUM(C26:C27)</f>
        <v>1176</v>
      </c>
      <c r="D28" s="1">
        <f t="shared" si="3"/>
        <v>653</v>
      </c>
      <c r="E28" s="1">
        <f t="shared" si="3"/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2026-08-26T14:55:21Z</dcterms:created>
  <dcterms:modified xsi:type="dcterms:W3CDTF">2026-08-26T17:11:44Z</dcterms:modified>
</cp:coreProperties>
</file>