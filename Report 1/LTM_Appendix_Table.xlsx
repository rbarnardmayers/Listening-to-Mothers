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barnard-mayers/Documents/2025-2026/LTM/"/>
    </mc:Choice>
  </mc:AlternateContent>
  <xr:revisionPtr revIDLastSave="0" documentId="13_ncr:1_{15E5C449-6F60-9A46-8B3E-157D5D87EFE0}" xr6:coauthVersionLast="47" xr6:coauthVersionMax="47" xr10:uidLastSave="{00000000-0000-0000-0000-000000000000}"/>
  <bookViews>
    <workbookView xWindow="1160" yWindow="660" windowWidth="14060" windowHeight="17160" xr2:uid="{A1A770C8-4871-F44B-898D-6AB0F4BADB4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2" i="1" l="1"/>
  <c r="C52" i="1"/>
</calcChain>
</file>

<file path=xl/sharedStrings.xml><?xml version="1.0" encoding="utf-8"?>
<sst xmlns="http://schemas.openxmlformats.org/spreadsheetml/2006/main" count="107" uniqueCount="89">
  <si>
    <t>Singleton hospital births to women 18+, United States, 2016</t>
  </si>
  <si>
    <t>Maternal age</t>
  </si>
  <si>
    <t>18-19</t>
  </si>
  <si>
    <t>20-24</t>
  </si>
  <si>
    <t>25-29</t>
  </si>
  <si>
    <t>30-34</t>
  </si>
  <si>
    <t>35+</t>
  </si>
  <si>
    <t>Race/ethnicity</t>
  </si>
  <si>
    <t>Maternal birthplace</t>
  </si>
  <si>
    <t>U.S. born</t>
  </si>
  <si>
    <t>Other country (or territory)</t>
  </si>
  <si>
    <t>Number of times has given birth</t>
  </si>
  <si>
    <t>First birth</t>
  </si>
  <si>
    <t>2 or 3 births</t>
  </si>
  <si>
    <t>Maternal education</t>
  </si>
  <si>
    <t>Less than high school</t>
  </si>
  <si>
    <t>High school graduate/GED</t>
  </si>
  <si>
    <t>Some college</t>
  </si>
  <si>
    <t>College graduate</t>
  </si>
  <si>
    <t>Missing</t>
  </si>
  <si>
    <t>Childbirth payer</t>
  </si>
  <si>
    <t>Medi-Cal</t>
  </si>
  <si>
    <t>Other government programs</t>
  </si>
  <si>
    <t>Private insurance company</t>
  </si>
  <si>
    <t>Self-pay</t>
  </si>
  <si>
    <t>Other</t>
  </si>
  <si>
    <t>Indian Health Service</t>
  </si>
  <si>
    <t>CHAMPUS/ TRICARE</t>
  </si>
  <si>
    <t>Maternal WIC receipt during pregnancy</t>
  </si>
  <si>
    <t>Yes</t>
  </si>
  <si>
    <t>NO</t>
  </si>
  <si>
    <t>Unknown</t>
  </si>
  <si>
    <t>Trimester of initiation of prenatal care</t>
  </si>
  <si>
    <t>1st trimester</t>
  </si>
  <si>
    <t>2nd trimester</t>
  </si>
  <si>
    <t>3rd trimester or no prenatal care</t>
  </si>
  <si>
    <t>Location of birth</t>
  </si>
  <si>
    <t>Hospital</t>
  </si>
  <si>
    <t>Birth center</t>
  </si>
  <si>
    <t>Home birth</t>
  </si>
  <si>
    <t>Attendant at birth</t>
  </si>
  <si>
    <t>MD</t>
  </si>
  <si>
    <t>DO</t>
  </si>
  <si>
    <t>CNM</t>
  </si>
  <si>
    <t>RN, nurse practitioner physician assistant</t>
  </si>
  <si>
    <t>Other type of midwife</t>
  </si>
  <si>
    <t>Listening to Mothers in California respondents, unweighted maternal responses, 2016</t>
  </si>
  <si>
    <t>Listening to Mothers in California respondents, weighted maternal responses 2016</t>
  </si>
  <si>
    <t>Mode of birth</t>
  </si>
  <si>
    <t>Vaginal</t>
  </si>
  <si>
    <t>Gestational age</t>
  </si>
  <si>
    <t>Preterm birth (&lt;37 weeks)</t>
  </si>
  <si>
    <t>Term birth (37+ weeks)</t>
  </si>
  <si>
    <t>Birth weight</t>
  </si>
  <si>
    <t>Low birth weight</t>
  </si>
  <si>
    <t>Normal birth weight</t>
  </si>
  <si>
    <t>4 or more births</t>
  </si>
  <si>
    <t>National Birth Certificate</t>
  </si>
  <si>
    <t>Unweighted LTM IV</t>
  </si>
  <si>
    <t>Weighted LTM IV</t>
  </si>
  <si>
    <t>Very low birth weight</t>
  </si>
  <si>
    <t xml:space="preserve">Macrosomic </t>
  </si>
  <si>
    <t>Multiracial</t>
  </si>
  <si>
    <t>Hispanic/Latine</t>
  </si>
  <si>
    <t>Asian Alone</t>
  </si>
  <si>
    <t>AIAN/NHPI Alone</t>
  </si>
  <si>
    <t>Black Alone</t>
  </si>
  <si>
    <t>White Alone</t>
  </si>
  <si>
    <t>Commercial</t>
  </si>
  <si>
    <t>Medicaid/CHIP</t>
  </si>
  <si>
    <t>IHS/Tribal</t>
  </si>
  <si>
    <t>No insurance</t>
  </si>
  <si>
    <t>TRICARE or Other or Multiple</t>
  </si>
  <si>
    <t>Vaginal, vacuum extraction or forceps</t>
  </si>
  <si>
    <t>Vaginal birth after cesarean</t>
  </si>
  <si>
    <t>Cesarean</t>
  </si>
  <si>
    <t>Primary Cesarean</t>
  </si>
  <si>
    <t>Repeat Cesarean</t>
  </si>
  <si>
    <t>Procedures</t>
  </si>
  <si>
    <t>Induced labor</t>
  </si>
  <si>
    <t>"Augmentation" of labor (synthetic oxytocin in labor)</t>
  </si>
  <si>
    <t>Episiotomy, among vaginal births</t>
  </si>
  <si>
    <t>Professional Degree</t>
  </si>
  <si>
    <t>OB</t>
  </si>
  <si>
    <t>Midwife</t>
  </si>
  <si>
    <t>Nurse</t>
  </si>
  <si>
    <t>Family medicine doctor</t>
  </si>
  <si>
    <t>PA</t>
  </si>
  <si>
    <t>Other 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</si>
</sst>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B655-F506-1348-97A6-7BC8DD414FD8}">
  <dimension ref="A1:D68"/>
  <sheetViews>
    <sheetView tabSelected="1" topLeftCell="A38" workbookViewId="0">
      <selection activeCell="D49" sqref="D49"/>
    </sheetView>
  </sheetViews>
  <sheetFormatPr baseColWidth="10" defaultColWidth="17.6640625" defaultRowHeight="16" x14ac:dyDescent="0.2"/>
  <sheetData>
    <row r="1" spans="1:4" x14ac:dyDescent="0.2">
      <c r="B1" s="2" t="s">
        <v>57</v>
      </c>
      <c r="C1" s="2" t="s">
        <v>58</v>
      </c>
      <c r="D1" s="2" t="s">
        <v>59</v>
      </c>
    </row>
    <row r="2" spans="1:4" x14ac:dyDescent="0.2">
      <c r="A2" s="3" t="s">
        <v>1</v>
      </c>
      <c r="B2" s="3"/>
      <c r="C2" s="3"/>
      <c r="D2" s="3"/>
    </row>
    <row r="3" spans="1:4" x14ac:dyDescent="0.2">
      <c r="A3" t="s">
        <v>2</v>
      </c>
      <c r="B3" s="1"/>
      <c r="C3" s="1">
        <v>0.02</v>
      </c>
      <c r="D3">
        <v>1.9</v>
      </c>
    </row>
    <row r="4" spans="1:4" x14ac:dyDescent="0.2">
      <c r="A4" t="s">
        <v>3</v>
      </c>
      <c r="B4" s="1"/>
      <c r="C4" s="1">
        <v>0.16</v>
      </c>
      <c r="D4">
        <v>18</v>
      </c>
    </row>
    <row r="5" spans="1:4" x14ac:dyDescent="0.2">
      <c r="A5" t="s">
        <v>4</v>
      </c>
      <c r="B5" s="1"/>
      <c r="C5" s="1">
        <v>0.24</v>
      </c>
      <c r="D5">
        <v>27</v>
      </c>
    </row>
    <row r="6" spans="1:4" x14ac:dyDescent="0.2">
      <c r="A6" t="s">
        <v>5</v>
      </c>
      <c r="B6" s="1"/>
      <c r="C6" s="1">
        <v>0.28999999999999998</v>
      </c>
      <c r="D6">
        <v>31</v>
      </c>
    </row>
    <row r="7" spans="1:4" x14ac:dyDescent="0.2">
      <c r="A7" t="s">
        <v>6</v>
      </c>
      <c r="B7" s="1"/>
      <c r="C7" s="1">
        <v>0.28999999999999998</v>
      </c>
      <c r="D7">
        <v>22</v>
      </c>
    </row>
    <row r="8" spans="1:4" x14ac:dyDescent="0.2">
      <c r="A8" s="3" t="s">
        <v>7</v>
      </c>
      <c r="B8" s="3"/>
      <c r="C8" s="3"/>
      <c r="D8" s="3"/>
    </row>
    <row r="9" spans="1:4" x14ac:dyDescent="0.2">
      <c r="A9" t="s">
        <v>65</v>
      </c>
      <c r="B9" s="1"/>
      <c r="C9" s="1">
        <v>3.9E-2</v>
      </c>
      <c r="D9">
        <v>1.3</v>
      </c>
    </row>
    <row r="10" spans="1:4" x14ac:dyDescent="0.2">
      <c r="A10" t="s">
        <v>64</v>
      </c>
      <c r="B10" s="1"/>
      <c r="C10" s="1">
        <v>4.7E-2</v>
      </c>
      <c r="D10">
        <v>6.4</v>
      </c>
    </row>
    <row r="11" spans="1:4" x14ac:dyDescent="0.2">
      <c r="A11" t="s">
        <v>66</v>
      </c>
      <c r="B11" s="1"/>
      <c r="C11" s="1">
        <v>0.28000000000000003</v>
      </c>
      <c r="D11">
        <v>13</v>
      </c>
    </row>
    <row r="12" spans="1:4" x14ac:dyDescent="0.2">
      <c r="A12" t="s">
        <v>63</v>
      </c>
      <c r="B12" s="1"/>
      <c r="C12" s="1">
        <v>0.14000000000000001</v>
      </c>
      <c r="D12">
        <v>19</v>
      </c>
    </row>
    <row r="13" spans="1:4" x14ac:dyDescent="0.2">
      <c r="A13" t="s">
        <v>67</v>
      </c>
      <c r="B13" s="1"/>
      <c r="C13" s="1">
        <v>0.3</v>
      </c>
      <c r="D13">
        <v>48</v>
      </c>
    </row>
    <row r="14" spans="1:4" x14ac:dyDescent="0.2">
      <c r="A14" t="s">
        <v>62</v>
      </c>
      <c r="B14" s="1"/>
      <c r="C14" s="1">
        <v>0.19</v>
      </c>
      <c r="D14">
        <v>11</v>
      </c>
    </row>
    <row r="15" spans="1:4" x14ac:dyDescent="0.2">
      <c r="A15" s="3" t="s">
        <v>8</v>
      </c>
      <c r="B15" s="3"/>
      <c r="C15" s="3"/>
      <c r="D15" s="3"/>
    </row>
    <row r="16" spans="1:4" x14ac:dyDescent="0.2">
      <c r="A16" t="s">
        <v>9</v>
      </c>
      <c r="B16" s="1"/>
      <c r="C16" s="1">
        <v>0.89</v>
      </c>
      <c r="D16">
        <v>75</v>
      </c>
    </row>
    <row r="17" spans="1:4" x14ac:dyDescent="0.2">
      <c r="A17" t="s">
        <v>10</v>
      </c>
      <c r="B17" s="1"/>
      <c r="C17" s="1">
        <v>0.1</v>
      </c>
      <c r="D17">
        <v>24</v>
      </c>
    </row>
    <row r="18" spans="1:4" x14ac:dyDescent="0.2">
      <c r="A18" t="s">
        <v>19</v>
      </c>
      <c r="B18" s="1"/>
      <c r="C18" s="1">
        <v>1.0999999999999999E-2</v>
      </c>
      <c r="D18">
        <v>1.5</v>
      </c>
    </row>
    <row r="19" spans="1:4" x14ac:dyDescent="0.2">
      <c r="A19" s="3" t="s">
        <v>11</v>
      </c>
      <c r="B19" s="3"/>
      <c r="C19" s="3"/>
      <c r="D19" s="3"/>
    </row>
    <row r="20" spans="1:4" x14ac:dyDescent="0.2">
      <c r="A20" t="s">
        <v>12</v>
      </c>
      <c r="B20" s="1"/>
      <c r="C20" s="1">
        <v>0.36</v>
      </c>
      <c r="D20" s="1">
        <v>0.4</v>
      </c>
    </row>
    <row r="21" spans="1:4" x14ac:dyDescent="0.2">
      <c r="A21" t="s">
        <v>13</v>
      </c>
      <c r="B21" s="1"/>
      <c r="C21" s="1">
        <v>0.3</v>
      </c>
      <c r="D21" s="1">
        <v>0.31</v>
      </c>
    </row>
    <row r="22" spans="1:4" x14ac:dyDescent="0.2">
      <c r="A22" t="s">
        <v>56</v>
      </c>
      <c r="C22" s="1">
        <v>0.34</v>
      </c>
      <c r="D22" s="1">
        <v>0.28999999999999998</v>
      </c>
    </row>
    <row r="23" spans="1:4" x14ac:dyDescent="0.2">
      <c r="A23" s="3" t="s">
        <v>14</v>
      </c>
      <c r="B23" s="3"/>
      <c r="C23" s="3"/>
      <c r="D23" s="3"/>
    </row>
    <row r="24" spans="1:4" x14ac:dyDescent="0.2">
      <c r="A24" t="s">
        <v>15</v>
      </c>
      <c r="B24" s="1"/>
      <c r="C24" s="1">
        <v>5.7000000000000002E-2</v>
      </c>
      <c r="D24" s="1">
        <v>9.8000000000000004E-2</v>
      </c>
    </row>
    <row r="25" spans="1:4" x14ac:dyDescent="0.2">
      <c r="A25" t="s">
        <v>16</v>
      </c>
      <c r="B25" s="1"/>
      <c r="C25" s="1">
        <v>0.28000000000000003</v>
      </c>
      <c r="D25" s="1">
        <v>0.27</v>
      </c>
    </row>
    <row r="26" spans="1:4" x14ac:dyDescent="0.2">
      <c r="A26" t="s">
        <v>17</v>
      </c>
      <c r="B26" s="1"/>
      <c r="C26" s="1">
        <v>0.35</v>
      </c>
      <c r="D26" s="1">
        <v>0.25</v>
      </c>
    </row>
    <row r="27" spans="1:4" x14ac:dyDescent="0.2">
      <c r="A27" t="s">
        <v>18</v>
      </c>
      <c r="B27" s="1"/>
      <c r="C27" s="1">
        <v>0.2</v>
      </c>
      <c r="D27" s="1">
        <v>0.22</v>
      </c>
    </row>
    <row r="28" spans="1:4" x14ac:dyDescent="0.2">
      <c r="A28" t="s">
        <v>82</v>
      </c>
      <c r="B28" s="1"/>
      <c r="C28" s="1">
        <v>0.1</v>
      </c>
      <c r="D28" s="1">
        <v>0.14000000000000001</v>
      </c>
    </row>
    <row r="29" spans="1:4" x14ac:dyDescent="0.2">
      <c r="A29" t="s">
        <v>19</v>
      </c>
      <c r="B29" s="1"/>
      <c r="C29" s="1">
        <v>0.5</v>
      </c>
      <c r="D29" s="1">
        <v>8.9999999999999993E-3</v>
      </c>
    </row>
    <row r="30" spans="1:4" x14ac:dyDescent="0.2">
      <c r="A30" s="3" t="s">
        <v>20</v>
      </c>
      <c r="B30" s="3"/>
      <c r="C30" s="3"/>
      <c r="D30" s="3"/>
    </row>
    <row r="31" spans="1:4" x14ac:dyDescent="0.2">
      <c r="A31" t="s">
        <v>68</v>
      </c>
      <c r="B31" s="1"/>
      <c r="C31" s="1">
        <v>0.37</v>
      </c>
      <c r="D31" s="1">
        <v>0.52</v>
      </c>
    </row>
    <row r="32" spans="1:4" x14ac:dyDescent="0.2">
      <c r="A32" t="s">
        <v>70</v>
      </c>
      <c r="B32" s="1"/>
      <c r="C32" s="1">
        <v>0.3</v>
      </c>
      <c r="D32" s="1">
        <v>0.1</v>
      </c>
    </row>
    <row r="33" spans="1:4" x14ac:dyDescent="0.2">
      <c r="A33" t="s">
        <v>69</v>
      </c>
      <c r="B33" s="1"/>
      <c r="C33" s="1">
        <v>0.51</v>
      </c>
      <c r="D33" s="1">
        <v>0.4</v>
      </c>
    </row>
    <row r="34" spans="1:4" x14ac:dyDescent="0.2">
      <c r="A34" t="s">
        <v>71</v>
      </c>
      <c r="B34" s="1"/>
      <c r="C34" s="1">
        <v>1.2999999999999999E-2</v>
      </c>
      <c r="D34" s="1">
        <v>0.03</v>
      </c>
    </row>
    <row r="35" spans="1:4" x14ac:dyDescent="0.2">
      <c r="A35" t="s">
        <v>72</v>
      </c>
      <c r="B35" s="1"/>
      <c r="C35" s="1">
        <v>9.5000000000000001E-2</v>
      </c>
      <c r="D35" s="1">
        <v>3.3000000000000002E-2</v>
      </c>
    </row>
    <row r="36" spans="1:4" x14ac:dyDescent="0.2">
      <c r="A36" t="s">
        <v>19</v>
      </c>
      <c r="B36" s="1"/>
      <c r="C36" s="1">
        <v>1.0999999999999999E-2</v>
      </c>
      <c r="D36" s="1">
        <v>1.2E-2</v>
      </c>
    </row>
    <row r="37" spans="1:4" x14ac:dyDescent="0.2">
      <c r="A37" s="3" t="s">
        <v>32</v>
      </c>
      <c r="B37" s="3"/>
      <c r="C37" s="3"/>
      <c r="D37" s="3"/>
    </row>
    <row r="38" spans="1:4" x14ac:dyDescent="0.2">
      <c r="A38" t="s">
        <v>33</v>
      </c>
      <c r="B38" s="1"/>
      <c r="C38" s="1">
        <v>0.82</v>
      </c>
      <c r="D38" s="1">
        <v>0.85</v>
      </c>
    </row>
    <row r="39" spans="1:4" x14ac:dyDescent="0.2">
      <c r="A39" t="s">
        <v>34</v>
      </c>
      <c r="B39" s="1"/>
      <c r="C39" s="1">
        <v>0.14000000000000001</v>
      </c>
      <c r="D39" s="1">
        <v>0.11</v>
      </c>
    </row>
    <row r="40" spans="1:4" x14ac:dyDescent="0.2">
      <c r="A40" t="s">
        <v>35</v>
      </c>
      <c r="B40" s="1"/>
      <c r="C40" s="1">
        <v>1.9E-2</v>
      </c>
      <c r="D40" s="1">
        <v>1.7000000000000001E-2</v>
      </c>
    </row>
    <row r="41" spans="1:4" x14ac:dyDescent="0.2">
      <c r="A41" t="s">
        <v>19</v>
      </c>
      <c r="B41" s="1"/>
      <c r="C41" s="1">
        <v>2.1999999999999999E-2</v>
      </c>
      <c r="D41" s="1">
        <v>2.1000000000000001E-2</v>
      </c>
    </row>
    <row r="42" spans="1:4" x14ac:dyDescent="0.2">
      <c r="A42" s="3" t="s">
        <v>40</v>
      </c>
      <c r="B42" s="3"/>
      <c r="C42" s="3"/>
      <c r="D42" s="3"/>
    </row>
    <row r="43" spans="1:4" x14ac:dyDescent="0.2">
      <c r="A43" t="s">
        <v>83</v>
      </c>
      <c r="B43" s="1"/>
      <c r="C43" s="1">
        <v>0.76</v>
      </c>
      <c r="D43" s="1">
        <v>0.78</v>
      </c>
    </row>
    <row r="44" spans="1:4" x14ac:dyDescent="0.2">
      <c r="A44" t="s">
        <v>84</v>
      </c>
      <c r="B44" s="1"/>
      <c r="C44" s="1">
        <v>8.5999999999999993E-2</v>
      </c>
      <c r="D44" s="1">
        <v>9.1999999999999998E-2</v>
      </c>
    </row>
    <row r="45" spans="1:4" x14ac:dyDescent="0.2">
      <c r="A45" t="s">
        <v>85</v>
      </c>
      <c r="B45" s="1"/>
      <c r="C45" s="1">
        <v>3.7999999999999999E-2</v>
      </c>
      <c r="D45" s="1">
        <v>3.4000000000000002E-2</v>
      </c>
    </row>
    <row r="46" spans="1:4" x14ac:dyDescent="0.2">
      <c r="A46" t="s">
        <v>86</v>
      </c>
      <c r="B46" s="1"/>
      <c r="C46" s="1">
        <v>2.1000000000000001E-2</v>
      </c>
      <c r="D46" s="1">
        <v>1.6E-2</v>
      </c>
    </row>
    <row r="47" spans="1:4" x14ac:dyDescent="0.2">
      <c r="A47" t="s">
        <v>87</v>
      </c>
      <c r="B47" s="1"/>
      <c r="C47" s="1">
        <v>5.0000000000000001E-3</v>
      </c>
      <c r="D47" s="1">
        <v>6.0000000000000001E-3</v>
      </c>
    </row>
    <row r="48" spans="1:4" x14ac:dyDescent="0.2">
      <c r="A48" t="s">
        <v>88</v>
      </c>
      <c r="B48" s="1"/>
      <c r="C48" s="1">
        <v>6.0999999999999999E-2</v>
      </c>
      <c r="D48" s="1">
        <v>4.9000000000000002E-2</v>
      </c>
    </row>
    <row r="49" spans="1:4" x14ac:dyDescent="0.2">
      <c r="A49" t="s">
        <v>19</v>
      </c>
      <c r="B49" s="1"/>
      <c r="C49" s="1">
        <v>2.7E-2</v>
      </c>
      <c r="D49" s="1">
        <v>2.5000000000000001E-2</v>
      </c>
    </row>
    <row r="50" spans="1:4" x14ac:dyDescent="0.2">
      <c r="A50" s="3" t="s">
        <v>48</v>
      </c>
      <c r="B50" s="3"/>
      <c r="C50" s="3"/>
      <c r="D50" s="3"/>
    </row>
    <row r="51" spans="1:4" x14ac:dyDescent="0.2">
      <c r="A51" t="s">
        <v>49</v>
      </c>
      <c r="B51" s="1"/>
      <c r="C51" s="1">
        <v>0.7</v>
      </c>
      <c r="D51" s="1">
        <v>0.68</v>
      </c>
    </row>
    <row r="52" spans="1:4" x14ac:dyDescent="0.2">
      <c r="A52" t="s">
        <v>73</v>
      </c>
      <c r="B52" s="1"/>
      <c r="C52" s="1">
        <f>(4.5+4.4)/100</f>
        <v>8.900000000000001E-2</v>
      </c>
      <c r="D52" s="4">
        <f>0.037+0.038</f>
        <v>7.4999999999999997E-2</v>
      </c>
    </row>
    <row r="53" spans="1:4" x14ac:dyDescent="0.2">
      <c r="A53" t="s">
        <v>74</v>
      </c>
      <c r="C53" s="1">
        <v>3.3000000000000002E-2</v>
      </c>
      <c r="D53" s="4">
        <v>2.5000000000000001E-2</v>
      </c>
    </row>
    <row r="54" spans="1:4" x14ac:dyDescent="0.2">
      <c r="A54" t="s">
        <v>75</v>
      </c>
      <c r="C54">
        <v>30</v>
      </c>
      <c r="D54" s="1">
        <v>0.32</v>
      </c>
    </row>
    <row r="55" spans="1:4" x14ac:dyDescent="0.2">
      <c r="A55" t="s">
        <v>76</v>
      </c>
      <c r="C55" s="1">
        <v>0.16</v>
      </c>
      <c r="D55" s="1">
        <v>0.18</v>
      </c>
    </row>
    <row r="56" spans="1:4" x14ac:dyDescent="0.2">
      <c r="A56" t="s">
        <v>77</v>
      </c>
      <c r="C56" s="1">
        <v>0.14000000000000001</v>
      </c>
      <c r="D56" s="1">
        <v>0.13</v>
      </c>
    </row>
    <row r="57" spans="1:4" x14ac:dyDescent="0.2">
      <c r="A57" s="3" t="s">
        <v>50</v>
      </c>
      <c r="B57" s="3"/>
      <c r="C57" s="3"/>
      <c r="D57" s="3"/>
    </row>
    <row r="58" spans="1:4" x14ac:dyDescent="0.2">
      <c r="A58" t="s">
        <v>51</v>
      </c>
      <c r="B58" s="1"/>
      <c r="C58" s="1">
        <v>0.13</v>
      </c>
      <c r="D58" s="1">
        <v>0.12</v>
      </c>
    </row>
    <row r="59" spans="1:4" x14ac:dyDescent="0.2">
      <c r="A59" t="s">
        <v>52</v>
      </c>
      <c r="B59" s="1"/>
      <c r="C59" s="1">
        <v>0.84</v>
      </c>
      <c r="D59" s="1">
        <v>0.86</v>
      </c>
    </row>
    <row r="60" spans="1:4" x14ac:dyDescent="0.2">
      <c r="A60" s="3" t="s">
        <v>53</v>
      </c>
      <c r="B60" s="3"/>
      <c r="C60" s="3"/>
      <c r="D60" s="3"/>
    </row>
    <row r="61" spans="1:4" x14ac:dyDescent="0.2">
      <c r="A61" t="s">
        <v>60</v>
      </c>
      <c r="B61" s="1"/>
      <c r="C61" s="1">
        <v>1.0999999999999999E-2</v>
      </c>
      <c r="D61" s="1">
        <v>0.01</v>
      </c>
    </row>
    <row r="62" spans="1:4" x14ac:dyDescent="0.2">
      <c r="A62" t="s">
        <v>54</v>
      </c>
      <c r="C62" s="1">
        <v>0.11</v>
      </c>
      <c r="D62" s="5">
        <v>8.6999999999999994E-2</v>
      </c>
    </row>
    <row r="63" spans="1:4" x14ac:dyDescent="0.2">
      <c r="A63" t="s">
        <v>55</v>
      </c>
      <c r="B63" s="1"/>
      <c r="C63" s="1">
        <v>0.78</v>
      </c>
      <c r="D63" s="1">
        <v>0.79</v>
      </c>
    </row>
    <row r="64" spans="1:4" x14ac:dyDescent="0.2">
      <c r="A64" t="s">
        <v>61</v>
      </c>
      <c r="C64" s="1">
        <v>7.2000000000000008E-2</v>
      </c>
      <c r="D64" s="1">
        <v>0.08</v>
      </c>
    </row>
    <row r="65" spans="1:4" x14ac:dyDescent="0.2">
      <c r="A65" s="3" t="s">
        <v>78</v>
      </c>
      <c r="B65" s="3"/>
      <c r="C65" s="3"/>
      <c r="D65" s="3"/>
    </row>
    <row r="66" spans="1:4" x14ac:dyDescent="0.2">
      <c r="A66" t="s">
        <v>79</v>
      </c>
      <c r="C66" s="1">
        <v>0.39</v>
      </c>
      <c r="D66" s="1">
        <v>0.39</v>
      </c>
    </row>
    <row r="67" spans="1:4" x14ac:dyDescent="0.2">
      <c r="A67" t="s">
        <v>80</v>
      </c>
      <c r="C67" s="1">
        <v>0.35</v>
      </c>
      <c r="D67" s="1">
        <v>0.36</v>
      </c>
    </row>
    <row r="68" spans="1:4" x14ac:dyDescent="0.2">
      <c r="A68" t="s">
        <v>81</v>
      </c>
      <c r="C68" s="1">
        <v>0.1</v>
      </c>
      <c r="D68" s="1">
        <v>0.11</v>
      </c>
    </row>
  </sheetData>
  <mergeCells count="12">
    <mergeCell ref="A60:D60"/>
    <mergeCell ref="A57:D57"/>
    <mergeCell ref="A65:D65"/>
    <mergeCell ref="A2:D2"/>
    <mergeCell ref="A8:D8"/>
    <mergeCell ref="A15:D15"/>
    <mergeCell ref="A19:D19"/>
    <mergeCell ref="A30:D30"/>
    <mergeCell ref="A23:D23"/>
    <mergeCell ref="A50:D50"/>
    <mergeCell ref="A42:D42"/>
    <mergeCell ref="A37:D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A4BD-5385-8B4B-A3CD-60D51EF13D13}">
  <dimension ref="A1:G34"/>
  <sheetViews>
    <sheetView workbookViewId="0">
      <selection sqref="A1:C34"/>
    </sheetView>
  </sheetViews>
  <sheetFormatPr baseColWidth="10" defaultRowHeight="16" x14ac:dyDescent="0.2"/>
  <cols>
    <col min="1" max="1" width="35.33203125" bestFit="1" customWidth="1"/>
    <col min="2" max="2" width="5.6640625" bestFit="1" customWidth="1"/>
    <col min="3" max="3" width="33.1640625" bestFit="1" customWidth="1"/>
    <col min="4" max="4" width="4.6640625" bestFit="1" customWidth="1"/>
    <col min="5" max="6" width="5.6640625" bestFit="1" customWidth="1"/>
    <col min="7" max="7" width="4.6640625" bestFit="1" customWidth="1"/>
  </cols>
  <sheetData>
    <row r="1" spans="1:7" x14ac:dyDescent="0.2">
      <c r="C1" t="s">
        <v>14</v>
      </c>
    </row>
    <row r="2" spans="1:7" x14ac:dyDescent="0.2">
      <c r="A2" t="s">
        <v>15</v>
      </c>
      <c r="B2" s="1"/>
      <c r="C2" s="1"/>
      <c r="E2" s="1"/>
      <c r="F2" s="1"/>
      <c r="G2" s="1"/>
    </row>
    <row r="3" spans="1:7" x14ac:dyDescent="0.2">
      <c r="A3" t="s">
        <v>16</v>
      </c>
      <c r="B3" s="1"/>
      <c r="C3" s="1"/>
      <c r="E3" s="1"/>
      <c r="F3" s="1"/>
      <c r="G3" s="1"/>
    </row>
    <row r="4" spans="1:7" x14ac:dyDescent="0.2">
      <c r="A4" t="s">
        <v>17</v>
      </c>
      <c r="B4" s="1"/>
      <c r="C4" s="1"/>
      <c r="E4" s="1"/>
      <c r="F4" s="1"/>
      <c r="G4" s="1"/>
    </row>
    <row r="5" spans="1:7" x14ac:dyDescent="0.2">
      <c r="A5" t="s">
        <v>18</v>
      </c>
      <c r="B5" s="1"/>
      <c r="C5" s="1"/>
      <c r="E5" s="1"/>
      <c r="F5" s="1"/>
      <c r="G5" s="1"/>
    </row>
    <row r="6" spans="1:7" x14ac:dyDescent="0.2">
      <c r="A6" t="s">
        <v>19</v>
      </c>
      <c r="B6" s="1"/>
      <c r="C6" s="1"/>
      <c r="E6" s="1"/>
      <c r="F6" s="1"/>
    </row>
    <row r="7" spans="1:7" x14ac:dyDescent="0.2">
      <c r="C7" t="s">
        <v>20</v>
      </c>
    </row>
    <row r="8" spans="1:7" x14ac:dyDescent="0.2">
      <c r="A8" t="s">
        <v>21</v>
      </c>
      <c r="B8" s="1"/>
      <c r="C8" s="1"/>
      <c r="F8" s="1"/>
      <c r="G8" s="1"/>
    </row>
    <row r="9" spans="1:7" x14ac:dyDescent="0.2">
      <c r="A9" t="s">
        <v>22</v>
      </c>
      <c r="B9" s="1"/>
      <c r="C9" s="1"/>
      <c r="E9" s="1"/>
      <c r="G9" s="1"/>
    </row>
    <row r="10" spans="1:7" x14ac:dyDescent="0.2">
      <c r="A10" t="s">
        <v>23</v>
      </c>
      <c r="B10" s="1"/>
      <c r="C10" s="1"/>
      <c r="E10" s="1"/>
      <c r="F10" s="1"/>
      <c r="G10" s="1"/>
    </row>
    <row r="11" spans="1:7" x14ac:dyDescent="0.2">
      <c r="A11" t="s">
        <v>24</v>
      </c>
      <c r="B11" s="1"/>
      <c r="C11" s="1"/>
      <c r="E11" s="1"/>
      <c r="G11" s="1"/>
    </row>
    <row r="12" spans="1:7" x14ac:dyDescent="0.2">
      <c r="A12" t="s">
        <v>25</v>
      </c>
      <c r="B12" s="1"/>
      <c r="C12" s="1"/>
      <c r="E12" s="1"/>
      <c r="G12" s="1"/>
    </row>
    <row r="13" spans="1:7" x14ac:dyDescent="0.2">
      <c r="A13" t="s">
        <v>26</v>
      </c>
      <c r="B13" s="1"/>
      <c r="C13" s="1"/>
      <c r="E13" s="1"/>
      <c r="G13" s="1"/>
    </row>
    <row r="14" spans="1:7" x14ac:dyDescent="0.2">
      <c r="A14" t="s">
        <v>27</v>
      </c>
      <c r="B14" s="1"/>
      <c r="C14" s="1"/>
      <c r="E14" s="1"/>
      <c r="G14" s="1"/>
    </row>
    <row r="15" spans="1:7" x14ac:dyDescent="0.2">
      <c r="C15" t="s">
        <v>28</v>
      </c>
    </row>
    <row r="16" spans="1:7" x14ac:dyDescent="0.2">
      <c r="A16" t="s">
        <v>29</v>
      </c>
      <c r="B16" s="1"/>
      <c r="C16" s="1"/>
      <c r="D16" s="1"/>
      <c r="F16" s="1"/>
    </row>
    <row r="17" spans="1:7" x14ac:dyDescent="0.2">
      <c r="A17" t="s">
        <v>30</v>
      </c>
      <c r="B17" s="1"/>
      <c r="C17" s="1"/>
      <c r="D17" s="1"/>
      <c r="F17" s="1"/>
    </row>
    <row r="18" spans="1:7" x14ac:dyDescent="0.2">
      <c r="A18" t="s">
        <v>31</v>
      </c>
      <c r="B18" s="1"/>
      <c r="C18" s="1"/>
      <c r="D18" s="1"/>
      <c r="F18" s="1"/>
    </row>
    <row r="19" spans="1:7" x14ac:dyDescent="0.2">
      <c r="C19" t="s">
        <v>32</v>
      </c>
    </row>
    <row r="20" spans="1:7" x14ac:dyDescent="0.2">
      <c r="A20" t="s">
        <v>33</v>
      </c>
      <c r="B20" s="1"/>
      <c r="C20" s="1"/>
      <c r="E20" s="1"/>
      <c r="G20" s="1"/>
    </row>
    <row r="21" spans="1:7" x14ac:dyDescent="0.2">
      <c r="A21" t="s">
        <v>34</v>
      </c>
      <c r="B21" s="1"/>
      <c r="C21" s="1"/>
      <c r="E21" s="1"/>
      <c r="G21" s="1"/>
    </row>
    <row r="22" spans="1:7" x14ac:dyDescent="0.2">
      <c r="A22" t="s">
        <v>35</v>
      </c>
      <c r="B22" s="1"/>
      <c r="C22" s="1"/>
      <c r="E22" s="1"/>
      <c r="G22" s="1"/>
    </row>
    <row r="23" spans="1:7" x14ac:dyDescent="0.2">
      <c r="A23" t="s">
        <v>19</v>
      </c>
      <c r="B23" s="1"/>
      <c r="C23" s="1"/>
      <c r="E23" s="1"/>
      <c r="G23" s="1"/>
    </row>
    <row r="24" spans="1:7" x14ac:dyDescent="0.2">
      <c r="C24" t="s">
        <v>36</v>
      </c>
    </row>
    <row r="25" spans="1:7" x14ac:dyDescent="0.2">
      <c r="A25" t="s">
        <v>37</v>
      </c>
      <c r="B25" s="1"/>
      <c r="C25" s="1"/>
      <c r="E25" s="1"/>
      <c r="F25" s="1"/>
      <c r="G25" s="1"/>
    </row>
    <row r="26" spans="1:7" x14ac:dyDescent="0.2">
      <c r="A26" t="s">
        <v>38</v>
      </c>
      <c r="B26" s="1"/>
      <c r="C26" s="1"/>
      <c r="E26" s="1"/>
      <c r="G26" s="1"/>
    </row>
    <row r="27" spans="1:7" x14ac:dyDescent="0.2">
      <c r="A27" t="s">
        <v>39</v>
      </c>
      <c r="B27" s="1"/>
      <c r="C27" s="1"/>
      <c r="E27" s="1"/>
      <c r="G27" s="1"/>
    </row>
    <row r="28" spans="1:7" x14ac:dyDescent="0.2">
      <c r="C28" t="s">
        <v>40</v>
      </c>
    </row>
    <row r="29" spans="1:7" x14ac:dyDescent="0.2">
      <c r="A29" t="s">
        <v>41</v>
      </c>
      <c r="B29" s="1"/>
      <c r="C29" s="1"/>
      <c r="E29" s="1"/>
      <c r="F29" s="1"/>
      <c r="G29" s="1"/>
    </row>
    <row r="30" spans="1:7" x14ac:dyDescent="0.2">
      <c r="A30" t="s">
        <v>42</v>
      </c>
      <c r="B30" s="1"/>
      <c r="C30" s="1"/>
      <c r="E30" s="1"/>
      <c r="G30" s="1"/>
    </row>
    <row r="31" spans="1:7" x14ac:dyDescent="0.2">
      <c r="A31" t="s">
        <v>43</v>
      </c>
      <c r="B31" s="1"/>
      <c r="C31" s="1"/>
      <c r="E31" s="1"/>
      <c r="F31" s="1"/>
      <c r="G31" s="1"/>
    </row>
    <row r="32" spans="1:7" x14ac:dyDescent="0.2">
      <c r="A32" t="s">
        <v>44</v>
      </c>
      <c r="B32" s="1"/>
      <c r="C32" s="1"/>
      <c r="F32" s="1"/>
      <c r="G32" s="1"/>
    </row>
    <row r="33" spans="1:7" x14ac:dyDescent="0.2">
      <c r="A33" t="s">
        <v>45</v>
      </c>
      <c r="B33" s="1"/>
      <c r="C33" s="1"/>
      <c r="E33" s="1"/>
      <c r="F33" s="1"/>
      <c r="G33" s="1"/>
    </row>
    <row r="34" spans="1:7" x14ac:dyDescent="0.2">
      <c r="A34" t="s">
        <v>25</v>
      </c>
      <c r="B34" s="1"/>
      <c r="C34" s="1"/>
      <c r="E34" s="1"/>
      <c r="F34" s="1"/>
      <c r="G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D148-EA53-4040-BAD5-3D0A915A7240}">
  <dimension ref="D1:G13"/>
  <sheetViews>
    <sheetView workbookViewId="0">
      <selection sqref="A1:C14"/>
    </sheetView>
  </sheetViews>
  <sheetFormatPr baseColWidth="10" defaultColWidth="19.83203125" defaultRowHeight="16" x14ac:dyDescent="0.2"/>
  <sheetData>
    <row r="1" spans="4:7" x14ac:dyDescent="0.2">
      <c r="D1" t="s">
        <v>46</v>
      </c>
      <c r="E1" t="s">
        <v>47</v>
      </c>
      <c r="F1" t="s">
        <v>0</v>
      </c>
    </row>
    <row r="3" spans="4:7" x14ac:dyDescent="0.2">
      <c r="E3" s="1"/>
      <c r="F3" s="1">
        <v>0.3</v>
      </c>
      <c r="G3" s="1">
        <v>0.31</v>
      </c>
    </row>
    <row r="4" spans="4:7" x14ac:dyDescent="0.2">
      <c r="E4" s="1"/>
      <c r="F4" s="1">
        <v>0.7</v>
      </c>
      <c r="G4" s="1">
        <v>0.69</v>
      </c>
    </row>
    <row r="6" spans="4:7" x14ac:dyDescent="0.2">
      <c r="E6" s="1">
        <v>7.0000000000000007E-2</v>
      </c>
      <c r="F6" s="1">
        <v>7.0000000000000007E-2</v>
      </c>
      <c r="G6" s="1">
        <v>0.08</v>
      </c>
    </row>
    <row r="7" spans="4:7" x14ac:dyDescent="0.2">
      <c r="E7" s="1">
        <v>0.93</v>
      </c>
      <c r="F7" s="1">
        <v>0.93</v>
      </c>
      <c r="G7" s="1">
        <v>0.92</v>
      </c>
    </row>
    <row r="9" spans="4:7" x14ac:dyDescent="0.2">
      <c r="E9" s="1">
        <v>0.01</v>
      </c>
      <c r="F9" s="1">
        <v>0.01</v>
      </c>
      <c r="G9" s="1">
        <v>0.01</v>
      </c>
    </row>
    <row r="11" spans="4:7" x14ac:dyDescent="0.2">
      <c r="E11" s="1">
        <v>0.05</v>
      </c>
      <c r="F11" s="1">
        <v>0.05</v>
      </c>
      <c r="G11" s="1">
        <v>0.05</v>
      </c>
    </row>
    <row r="13" spans="4:7" x14ac:dyDescent="0.2">
      <c r="E13" s="1">
        <v>0.94</v>
      </c>
      <c r="F13" s="1">
        <v>0.94</v>
      </c>
      <c r="G13" s="1"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Barnard-Mayers, Ruby</dc:creator>
  <cp:lastModifiedBy>Barnard-Mayers, Ruby</cp:lastModifiedBy>
  <dcterms:created xsi:type="dcterms:W3CDTF">2026-04-16T21:49:41Z</dcterms:created>
  <dcterms:modified xsi:type="dcterms:W3CDTF">2026-04-17T20:55:38Z</dcterms:modified>
</cp:coreProperties>
</file>