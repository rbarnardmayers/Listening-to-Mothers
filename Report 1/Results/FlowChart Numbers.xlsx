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barnard-mayers/Documents/2025-2026/LTM/"/>
    </mc:Choice>
  </mc:AlternateContent>
  <xr:revisionPtr revIDLastSave="0" documentId="13_ncr:1_{97258BB2-872E-9E40-BE09-3B7A4E4A5D7F}" xr6:coauthVersionLast="47" xr6:coauthVersionMax="47" xr10:uidLastSave="{00000000-0000-0000-0000-000000000000}"/>
  <bookViews>
    <workbookView xWindow="8480" yWindow="660" windowWidth="20920" windowHeight="14840" xr2:uid="{6640F35E-78E3-5F4E-A818-8DDFC5BFFA9B}"/>
  </bookViews>
  <sheets>
    <sheet name="Exclusive" sheetId="1" r:id="rId1"/>
    <sheet name="Any" sheetId="2" r:id="rId2"/>
    <sheet name="Depression" sheetId="3" r:id="rId3"/>
    <sheet name="Anxie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B10" i="2"/>
  <c r="C10" i="2"/>
  <c r="D10" i="2"/>
  <c r="E10" i="2"/>
  <c r="A13" i="2"/>
  <c r="B13" i="2"/>
  <c r="C13" i="2"/>
  <c r="D13" i="2"/>
  <c r="E13" i="2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10" i="1"/>
  <c r="B10" i="1"/>
  <c r="C10" i="1"/>
  <c r="D10" i="1"/>
  <c r="E10" i="1"/>
  <c r="F10" i="1"/>
  <c r="G10" i="1"/>
  <c r="J10" i="1"/>
  <c r="M10" i="1"/>
  <c r="D2" i="4"/>
  <c r="B2" i="4"/>
  <c r="F18" i="4"/>
  <c r="D17" i="4"/>
  <c r="F16" i="4"/>
  <c r="F2" i="4" s="1"/>
  <c r="F14" i="4"/>
  <c r="B14" i="4"/>
  <c r="D13" i="4"/>
  <c r="F12" i="4"/>
  <c r="F10" i="4"/>
  <c r="D9" i="4"/>
  <c r="F8" i="4"/>
  <c r="F6" i="4"/>
  <c r="B6" i="4"/>
  <c r="D5" i="4"/>
  <c r="F4" i="4"/>
  <c r="F9" i="3"/>
  <c r="F17" i="3"/>
  <c r="F15" i="3"/>
  <c r="F13" i="3"/>
  <c r="F11" i="3"/>
  <c r="F7" i="3"/>
  <c r="F5" i="3"/>
  <c r="F3" i="3"/>
  <c r="D4" i="3"/>
  <c r="D8" i="3"/>
  <c r="D16" i="3"/>
  <c r="D12" i="3"/>
  <c r="B13" i="3"/>
  <c r="B5" i="3"/>
  <c r="D7" i="2"/>
  <c r="B7" i="2"/>
  <c r="C7" i="1"/>
  <c r="B7" i="1"/>
  <c r="C7" i="2"/>
  <c r="E7" i="2"/>
  <c r="A4" i="2"/>
  <c r="A7" i="2"/>
  <c r="M7" i="1"/>
  <c r="M4" i="1"/>
  <c r="A4" i="1"/>
  <c r="A7" i="1"/>
  <c r="G7" i="1"/>
  <c r="D7" i="1"/>
  <c r="E4" i="2"/>
  <c r="C4" i="2"/>
  <c r="J7" i="1"/>
  <c r="J4" i="1"/>
  <c r="G4" i="1"/>
  <c r="D4" i="1"/>
</calcChain>
</file>

<file path=xl/sharedStrings.xml><?xml version="1.0" encoding="utf-8"?>
<sst xmlns="http://schemas.openxmlformats.org/spreadsheetml/2006/main" count="91" uniqueCount="22">
  <si>
    <t>Exlcusive BF</t>
  </si>
  <si>
    <t>Planned</t>
  </si>
  <si>
    <t>1 week</t>
  </si>
  <si>
    <t>3 months</t>
  </si>
  <si>
    <t>6 months</t>
  </si>
  <si>
    <t>Exclusive BF</t>
  </si>
  <si>
    <t>Mixed Feeding</t>
  </si>
  <si>
    <t>Formula Feeding</t>
  </si>
  <si>
    <t>Mixed</t>
  </si>
  <si>
    <t>Formula</t>
  </si>
  <si>
    <t>Denominator</t>
  </si>
  <si>
    <t>Any BF</t>
  </si>
  <si>
    <t>No BF</t>
  </si>
  <si>
    <t xml:space="preserve">"Full" population = </t>
  </si>
  <si>
    <t>Unknown</t>
  </si>
  <si>
    <t>Pregnancy</t>
  </si>
  <si>
    <t>Pre-pregnancy</t>
  </si>
  <si>
    <t>Postpartum</t>
  </si>
  <si>
    <t>Depression</t>
  </si>
  <si>
    <t>No Depression</t>
  </si>
  <si>
    <t>Anxiety</t>
  </si>
  <si>
    <t>No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</si>
</sst>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3333"/>
      <name val="Aptos Narrow"/>
      <scheme val="minor"/>
    </font>
    <font>
      <sz val="12"/>
      <color rgb="FF333333"/>
      <name val="Aptos"/>
    </font>
    <font>
      <b/>
      <sz val="12"/>
      <color theme="1"/>
      <name val="Aptos Narrow"/>
      <scheme val="minor"/>
    </font>
    <font>
      <sz val="11"/>
      <color rgb="FF333333"/>
      <name val="Helvetica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4" fontId="3" fillId="0" borderId="0" xfId="0" applyNumberFormat="1" applyFont="1"/>
    <xf numFmtId="0" fontId="4" fillId="0" borderId="0" xfId="0" applyFont="1"/>
    <xf numFmtId="0" fontId="4" fillId="2" borderId="0" xfId="0" applyFont="1" applyFill="1"/>
    <xf numFmtId="9" fontId="0" fillId="0" borderId="0" xfId="1" applyFont="1"/>
    <xf numFmtId="4" fontId="5" fillId="0" borderId="0" xfId="0" applyNumberFormat="1" applyFont="1"/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9" fontId="0" fillId="0" borderId="1" xfId="1" applyFont="1" applyBorder="1"/>
    <xf numFmtId="4" fontId="3" fillId="0" borderId="1" xfId="0" applyNumberFormat="1" applyFont="1" applyBorder="1"/>
    <xf numFmtId="4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3" xfId="0" applyBorder="1"/>
    <xf numFmtId="4" fontId="6" fillId="0" borderId="0" xfId="0" applyNumberFormat="1" applyFont="1" applyAlignment="1">
      <alignment horizontal="center"/>
    </xf>
    <xf numFmtId="3" fontId="0" fillId="0" borderId="0" xfId="0" applyNumberFormat="1"/>
    <xf numFmtId="4" fontId="6" fillId="0" borderId="1" xfId="0" applyNumberFormat="1" applyFont="1" applyBorder="1" applyAlignment="1">
      <alignment horizontal="center"/>
    </xf>
    <xf numFmtId="0" fontId="0" fillId="0" borderId="5" xfId="0" applyBorder="1"/>
    <xf numFmtId="0" fontId="4" fillId="0" borderId="6" xfId="0" applyFont="1" applyBorder="1"/>
    <xf numFmtId="43" fontId="0" fillId="0" borderId="0" xfId="2" applyFont="1"/>
    <xf numFmtId="43" fontId="0" fillId="0" borderId="5" xfId="2" applyFont="1" applyBorder="1"/>
    <xf numFmtId="43" fontId="0" fillId="0" borderId="0" xfId="2" applyFont="1" applyBorder="1"/>
    <xf numFmtId="9" fontId="0" fillId="0" borderId="0" xfId="0" applyNumberFormat="1"/>
    <xf numFmtId="4" fontId="4" fillId="2" borderId="0" xfId="0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7C0D-ED99-9A4A-A561-3B5F4230ED75}">
  <dimension ref="A1:N15"/>
  <sheetViews>
    <sheetView tabSelected="1" topLeftCell="H1" zoomScale="137" workbookViewId="0">
      <selection activeCell="J18" sqref="J18"/>
    </sheetView>
  </sheetViews>
  <sheetFormatPr baseColWidth="10" defaultRowHeight="16" x14ac:dyDescent="0.2"/>
  <cols>
    <col min="1" max="1" width="11.6640625" bestFit="1" customWidth="1"/>
    <col min="4" max="4" width="13.5" customWidth="1"/>
    <col min="5" max="5" width="14.83203125" bestFit="1" customWidth="1"/>
    <col min="14" max="14" width="11.6640625" bestFit="1" customWidth="1"/>
  </cols>
  <sheetData>
    <row r="1" spans="1:14" x14ac:dyDescent="0.2">
      <c r="D1" s="7"/>
      <c r="G1" s="7"/>
      <c r="N1" s="4" t="s">
        <v>10</v>
      </c>
    </row>
    <row r="2" spans="1:14" x14ac:dyDescent="0.2">
      <c r="A2" s="13" t="s">
        <v>1</v>
      </c>
      <c r="B2" s="16"/>
      <c r="C2" s="16"/>
      <c r="D2" s="15" t="s">
        <v>0</v>
      </c>
      <c r="E2" s="16"/>
      <c r="F2" s="16"/>
      <c r="G2" s="15" t="s">
        <v>6</v>
      </c>
      <c r="H2" s="16"/>
      <c r="I2" s="16"/>
      <c r="J2" s="15" t="s">
        <v>7</v>
      </c>
      <c r="K2" s="16"/>
      <c r="L2" s="16"/>
      <c r="M2" s="15" t="s">
        <v>14</v>
      </c>
      <c r="N2" s="4"/>
    </row>
    <row r="3" spans="1:14" x14ac:dyDescent="0.2">
      <c r="A3" s="9">
        <v>2102372.98</v>
      </c>
      <c r="D3" s="9">
        <v>2102372.98</v>
      </c>
      <c r="G3" s="9">
        <v>759355.37</v>
      </c>
      <c r="J3" s="1">
        <v>493566.36</v>
      </c>
      <c r="M3" s="1">
        <v>493566.36</v>
      </c>
      <c r="N3" s="4">
        <v>3396402</v>
      </c>
    </row>
    <row r="4" spans="1:14" x14ac:dyDescent="0.2">
      <c r="A4" s="5">
        <f>A3/$N$3</f>
        <v>0.61900004180894963</v>
      </c>
      <c r="D4" s="10">
        <f>D3/$N$3</f>
        <v>0.61900004180894963</v>
      </c>
      <c r="G4" s="10">
        <f>G3/$N$3</f>
        <v>0.22357641115509883</v>
      </c>
      <c r="J4" s="5">
        <f>J3/$N$3</f>
        <v>0.14532035960407513</v>
      </c>
      <c r="M4" s="5">
        <f>M3/$N$3</f>
        <v>0.14532035960407513</v>
      </c>
      <c r="N4" s="4"/>
    </row>
    <row r="5" spans="1:14" x14ac:dyDescent="0.2">
      <c r="A5" s="13" t="s">
        <v>2</v>
      </c>
      <c r="B5" s="14" t="s">
        <v>9</v>
      </c>
      <c r="C5" s="14" t="s">
        <v>8</v>
      </c>
      <c r="D5" s="15" t="s">
        <v>5</v>
      </c>
      <c r="E5" s="14" t="s">
        <v>9</v>
      </c>
      <c r="F5" s="14" t="s">
        <v>8</v>
      </c>
      <c r="G5" s="15" t="s">
        <v>5</v>
      </c>
      <c r="H5" s="14" t="s">
        <v>9</v>
      </c>
      <c r="I5" s="14" t="s">
        <v>8</v>
      </c>
      <c r="J5" s="15" t="s">
        <v>5</v>
      </c>
      <c r="K5" s="14" t="s">
        <v>9</v>
      </c>
      <c r="L5" s="14" t="s">
        <v>8</v>
      </c>
      <c r="M5" s="15" t="s">
        <v>5</v>
      </c>
      <c r="N5" s="4"/>
    </row>
    <row r="6" spans="1:14" x14ac:dyDescent="0.2">
      <c r="A6" s="17">
        <v>2053185.6</v>
      </c>
      <c r="B6" s="1">
        <v>121081.68</v>
      </c>
      <c r="C6" s="1">
        <v>271517.3</v>
      </c>
      <c r="D6" s="11">
        <v>1709066.85</v>
      </c>
      <c r="E6" s="1">
        <v>45978.65</v>
      </c>
      <c r="F6" s="1">
        <v>406243.44</v>
      </c>
      <c r="G6" s="12">
        <v>306102.87</v>
      </c>
      <c r="H6" s="1">
        <v>429806.3</v>
      </c>
      <c r="I6" s="1">
        <v>32982.15</v>
      </c>
      <c r="J6" s="2">
        <v>30459.98</v>
      </c>
      <c r="K6" s="1">
        <v>13204.51</v>
      </c>
      <c r="L6" s="1">
        <v>17577.330000000002</v>
      </c>
      <c r="M6" s="2">
        <v>7555.9</v>
      </c>
      <c r="N6" s="4">
        <v>3396402</v>
      </c>
    </row>
    <row r="7" spans="1:14" x14ac:dyDescent="0.2">
      <c r="A7" s="5">
        <f>A6/$N$3</f>
        <v>0.60451783976101769</v>
      </c>
      <c r="B7" s="5">
        <f>B6/$N$3</f>
        <v>3.5649984895780883E-2</v>
      </c>
      <c r="C7" s="5">
        <f>C6/$N$3</f>
        <v>7.9942627521712675E-2</v>
      </c>
      <c r="D7" s="10">
        <f>D6/$N$3</f>
        <v>0.50319922376679793</v>
      </c>
      <c r="G7" s="10">
        <f>G6/$N$3</f>
        <v>9.012563000492875E-2</v>
      </c>
      <c r="J7" s="5">
        <f>J6/$N$3</f>
        <v>8.9683082273535348E-3</v>
      </c>
      <c r="M7" s="5">
        <f>M6/$N$3</f>
        <v>2.2246777619374853E-3</v>
      </c>
      <c r="N7" s="4"/>
    </row>
    <row r="8" spans="1:14" x14ac:dyDescent="0.2">
      <c r="A8" s="13" t="s">
        <v>3</v>
      </c>
      <c r="B8" s="15" t="s">
        <v>5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6"/>
      <c r="I8" s="16"/>
      <c r="J8" s="15" t="s">
        <v>5</v>
      </c>
      <c r="K8" s="16"/>
      <c r="L8" s="16"/>
      <c r="M8" s="15" t="s">
        <v>5</v>
      </c>
      <c r="N8" s="4"/>
    </row>
    <row r="9" spans="1:14" x14ac:dyDescent="0.2">
      <c r="A9" s="17">
        <v>1634608.61</v>
      </c>
      <c r="B9" s="1"/>
      <c r="C9" s="1"/>
      <c r="D9" s="9">
        <v>1427368.39</v>
      </c>
      <c r="E9" s="1"/>
      <c r="F9" s="1"/>
      <c r="G9" s="9">
        <v>189689.68</v>
      </c>
      <c r="H9" s="1"/>
      <c r="I9" s="1"/>
      <c r="J9" s="1">
        <v>10430.93</v>
      </c>
      <c r="K9" s="1"/>
      <c r="L9" s="1"/>
      <c r="M9" s="1">
        <v>7119.61</v>
      </c>
      <c r="N9" s="26">
        <v>3394464.45</v>
      </c>
    </row>
    <row r="10" spans="1:14" x14ac:dyDescent="0.2">
      <c r="A10" s="5">
        <f>A9/$N$9</f>
        <v>0.48155125324703285</v>
      </c>
      <c r="B10" s="5">
        <f>B9/$N$9</f>
        <v>0</v>
      </c>
      <c r="C10" s="5">
        <f>C9/$N$9</f>
        <v>0</v>
      </c>
      <c r="D10" s="5">
        <f>D9/$N$9</f>
        <v>0.42049884776374657</v>
      </c>
      <c r="E10" s="5">
        <f>E9/$N$9</f>
        <v>0</v>
      </c>
      <c r="F10" s="5">
        <f>F9/$N$9</f>
        <v>0</v>
      </c>
      <c r="G10" s="5">
        <f>G9/$N$9</f>
        <v>5.5882064105870953E-2</v>
      </c>
      <c r="J10" s="5">
        <f>J9/$N$9</f>
        <v>3.072923624225907E-3</v>
      </c>
      <c r="M10" s="5">
        <f>M9/$N$9</f>
        <v>2.0974177531893137E-3</v>
      </c>
      <c r="N10" s="4"/>
    </row>
    <row r="11" spans="1:14" x14ac:dyDescent="0.2">
      <c r="A11" s="13" t="s">
        <v>4</v>
      </c>
      <c r="B11" s="15" t="s">
        <v>5</v>
      </c>
      <c r="C11" s="15" t="s">
        <v>5</v>
      </c>
      <c r="D11" s="15" t="s">
        <v>5</v>
      </c>
      <c r="E11" s="15" t="s">
        <v>5</v>
      </c>
      <c r="F11" s="15" t="s">
        <v>5</v>
      </c>
      <c r="G11" s="15" t="s">
        <v>5</v>
      </c>
      <c r="H11" s="16"/>
      <c r="I11" s="16"/>
      <c r="J11" s="15" t="s">
        <v>5</v>
      </c>
      <c r="K11" s="16"/>
      <c r="L11" s="16"/>
      <c r="M11" s="15" t="s">
        <v>5</v>
      </c>
      <c r="N11" s="4"/>
    </row>
    <row r="12" spans="1:14" x14ac:dyDescent="0.2">
      <c r="A12" s="17">
        <v>1179221.3700000001</v>
      </c>
      <c r="B12" s="1"/>
      <c r="C12" s="1"/>
      <c r="D12" s="9">
        <v>1085703.8500000001</v>
      </c>
      <c r="E12" s="1"/>
      <c r="F12" s="1"/>
      <c r="G12" s="9">
        <v>81195.14</v>
      </c>
      <c r="H12" s="1"/>
      <c r="J12" s="1">
        <v>8269.82</v>
      </c>
      <c r="K12" s="1"/>
      <c r="M12" s="1">
        <v>4052.56</v>
      </c>
      <c r="N12" s="26">
        <v>3078029.49</v>
      </c>
    </row>
    <row r="13" spans="1:14" x14ac:dyDescent="0.2">
      <c r="A13" s="5">
        <f>A12/$N$12</f>
        <v>0.38310918522096421</v>
      </c>
      <c r="B13" s="5">
        <f>B12/$N$12</f>
        <v>0</v>
      </c>
      <c r="C13" s="5">
        <f>C12/$N$12</f>
        <v>0</v>
      </c>
      <c r="D13" s="5">
        <f>D12/$N$12</f>
        <v>0.35272691620638114</v>
      </c>
      <c r="E13" s="5">
        <f>E12/$N$12</f>
        <v>0</v>
      </c>
      <c r="F13" s="5">
        <f>F12/$N$12</f>
        <v>0</v>
      </c>
      <c r="G13" s="5">
        <f>G12/$N$12</f>
        <v>2.6378935050424091E-2</v>
      </c>
      <c r="H13" s="5">
        <f>H12/$N$12</f>
        <v>0</v>
      </c>
      <c r="I13" s="5">
        <f>I12/$N$12</f>
        <v>0</v>
      </c>
      <c r="J13" s="5">
        <f>J12/$N$12</f>
        <v>2.686725395863572E-3</v>
      </c>
      <c r="K13" s="5">
        <f>K12/$N$12</f>
        <v>0</v>
      </c>
      <c r="L13" s="5">
        <f>L12/$N$12</f>
        <v>0</v>
      </c>
      <c r="M13" s="5">
        <f>M12/$N$12</f>
        <v>1.3166085682954258E-3</v>
      </c>
      <c r="N13" s="4"/>
    </row>
    <row r="14" spans="1:14" x14ac:dyDescent="0.2">
      <c r="D14" s="6"/>
      <c r="N14" s="4"/>
    </row>
    <row r="15" spans="1:14" x14ac:dyDescent="0.2">
      <c r="D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B103-D830-3C4D-92BF-A0876A3308CD}">
  <dimension ref="A1:H14"/>
  <sheetViews>
    <sheetView zoomScale="119" workbookViewId="0">
      <selection activeCell="C18" sqref="C18"/>
    </sheetView>
  </sheetViews>
  <sheetFormatPr baseColWidth="10" defaultRowHeight="16" x14ac:dyDescent="0.2"/>
  <cols>
    <col min="1" max="1" width="11.6640625" bestFit="1" customWidth="1"/>
    <col min="3" max="3" width="12.6640625" customWidth="1"/>
    <col min="4" max="4" width="12.5" customWidth="1"/>
    <col min="6" max="6" width="11.6640625" bestFit="1" customWidth="1"/>
  </cols>
  <sheetData>
    <row r="1" spans="1:8" x14ac:dyDescent="0.2">
      <c r="A1" t="s">
        <v>13</v>
      </c>
      <c r="B1" s="18">
        <v>3396402</v>
      </c>
      <c r="C1" s="7"/>
      <c r="F1" s="4" t="s">
        <v>10</v>
      </c>
    </row>
    <row r="2" spans="1:8" x14ac:dyDescent="0.2">
      <c r="A2" s="8" t="s">
        <v>1</v>
      </c>
      <c r="C2" s="8" t="s">
        <v>11</v>
      </c>
      <c r="E2" s="8" t="s">
        <v>12</v>
      </c>
      <c r="F2" s="4"/>
      <c r="G2" s="3"/>
    </row>
    <row r="3" spans="1:8" x14ac:dyDescent="0.2">
      <c r="A3" s="19">
        <v>2861728.35</v>
      </c>
      <c r="C3" s="9">
        <v>2861728.35</v>
      </c>
      <c r="E3" s="9">
        <v>534673.93999999994</v>
      </c>
      <c r="F3" s="4">
        <v>3396402</v>
      </c>
      <c r="G3" s="1"/>
    </row>
    <row r="4" spans="1:8" x14ac:dyDescent="0.2">
      <c r="A4" s="10">
        <f>A3/$F$3</f>
        <v>0.84257645296404848</v>
      </c>
      <c r="C4" s="10">
        <f>C3/$F$3</f>
        <v>0.84257645296404848</v>
      </c>
      <c r="E4" s="10">
        <f>E3/$F$3</f>
        <v>0.15742363242042606</v>
      </c>
      <c r="F4" s="4"/>
    </row>
    <row r="5" spans="1:8" x14ac:dyDescent="0.2">
      <c r="A5" s="8" t="s">
        <v>2</v>
      </c>
      <c r="B5" s="3" t="s">
        <v>12</v>
      </c>
      <c r="C5" s="8" t="s">
        <v>11</v>
      </c>
      <c r="D5" s="3" t="s">
        <v>12</v>
      </c>
      <c r="E5" s="8" t="s">
        <v>11</v>
      </c>
      <c r="F5" s="4"/>
      <c r="G5" s="3"/>
    </row>
    <row r="6" spans="1:8" x14ac:dyDescent="0.2">
      <c r="A6" s="19">
        <v>2781505.82</v>
      </c>
      <c r="B6" s="1">
        <v>168797.89</v>
      </c>
      <c r="C6" s="11">
        <v>2692930.46</v>
      </c>
      <c r="D6" s="1">
        <v>446098.58</v>
      </c>
      <c r="E6" s="12">
        <v>88575.360000000001</v>
      </c>
      <c r="F6" s="4">
        <v>3396402</v>
      </c>
      <c r="G6" s="2"/>
    </row>
    <row r="7" spans="1:8" x14ac:dyDescent="0.2">
      <c r="A7" s="10">
        <f>A6/$F$3</f>
        <v>0.81895659583288427</v>
      </c>
      <c r="B7" s="5">
        <f>B6/$F$3</f>
        <v>4.9699031504515663E-2</v>
      </c>
      <c r="C7" s="10">
        <f>C6/$F$3</f>
        <v>0.79287742145953277</v>
      </c>
      <c r="D7" s="5">
        <f>D6/$F$3</f>
        <v>0.13134445804707454</v>
      </c>
      <c r="E7" s="10">
        <f>E6/$F$3</f>
        <v>2.6079174373351565E-2</v>
      </c>
      <c r="F7" s="4"/>
    </row>
    <row r="8" spans="1:8" x14ac:dyDescent="0.2">
      <c r="A8" s="8" t="s">
        <v>3</v>
      </c>
      <c r="B8" s="8" t="s">
        <v>11</v>
      </c>
      <c r="C8" s="8" t="s">
        <v>11</v>
      </c>
      <c r="D8" s="8" t="s">
        <v>11</v>
      </c>
      <c r="E8" s="8" t="s">
        <v>11</v>
      </c>
      <c r="F8" s="4"/>
      <c r="G8" s="3"/>
      <c r="H8" s="3"/>
    </row>
    <row r="9" spans="1:8" x14ac:dyDescent="0.2">
      <c r="A9" s="19">
        <v>2365701.86</v>
      </c>
      <c r="B9" s="1">
        <v>13375.03</v>
      </c>
      <c r="C9" s="9">
        <v>2303191.61</v>
      </c>
      <c r="D9" s="1">
        <v>2678.75</v>
      </c>
      <c r="E9" s="9">
        <v>46456.47</v>
      </c>
      <c r="F9" s="26">
        <v>3394464.45</v>
      </c>
      <c r="G9" s="1"/>
    </row>
    <row r="10" spans="1:8" x14ac:dyDescent="0.2">
      <c r="A10" s="10">
        <f>A9/$F$9</f>
        <v>0.69692933740991148</v>
      </c>
      <c r="B10" s="10">
        <f>B9/$F$9</f>
        <v>3.9402474814546964E-3</v>
      </c>
      <c r="C10" s="10">
        <f>C9/$F$9</f>
        <v>0.67851398767779103</v>
      </c>
      <c r="D10" s="10">
        <f>D9/$F$9</f>
        <v>7.8915246851384751E-4</v>
      </c>
      <c r="E10" s="10">
        <f>E9/$F$9</f>
        <v>1.3685949782151938E-2</v>
      </c>
      <c r="F10" s="4"/>
    </row>
    <row r="11" spans="1:8" x14ac:dyDescent="0.2">
      <c r="A11" s="8" t="s">
        <v>4</v>
      </c>
      <c r="B11" s="8" t="s">
        <v>11</v>
      </c>
      <c r="C11" s="8" t="s">
        <v>11</v>
      </c>
      <c r="D11" s="8" t="s">
        <v>11</v>
      </c>
      <c r="E11" s="8" t="s">
        <v>11</v>
      </c>
      <c r="F11" s="4"/>
      <c r="G11" s="3"/>
      <c r="H11" s="3"/>
    </row>
    <row r="12" spans="1:8" x14ac:dyDescent="0.2">
      <c r="A12" s="19">
        <v>2059022.65</v>
      </c>
      <c r="B12" s="1">
        <v>13375.03</v>
      </c>
      <c r="C12" s="9">
        <v>2004950.05</v>
      </c>
      <c r="D12" s="1">
        <v>2678.75</v>
      </c>
      <c r="E12" s="9">
        <v>38018.82</v>
      </c>
      <c r="F12" s="26">
        <v>3078029.49</v>
      </c>
    </row>
    <row r="13" spans="1:8" x14ac:dyDescent="0.2">
      <c r="A13" s="10">
        <f>A12/$F$12</f>
        <v>0.66894182030725113</v>
      </c>
      <c r="B13" s="10">
        <f>B12/$F$12</f>
        <v>4.3453222405611192E-3</v>
      </c>
      <c r="C13" s="10">
        <f>C12/$F$12</f>
        <v>0.65137454222376534</v>
      </c>
      <c r="D13" s="10">
        <f>D12/$F$12</f>
        <v>8.7028081072738515E-4</v>
      </c>
      <c r="E13" s="10">
        <f>E12/$F$12</f>
        <v>1.2351675032197303E-2</v>
      </c>
      <c r="F13" s="4"/>
    </row>
    <row r="14" spans="1:8" x14ac:dyDescent="0.2">
      <c r="F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4F86-C6F0-D543-811D-8AD3999D21C7}">
  <dimension ref="A1:F17"/>
  <sheetViews>
    <sheetView workbookViewId="0">
      <selection activeCell="D13" sqref="A1:F17"/>
    </sheetView>
  </sheetViews>
  <sheetFormatPr baseColWidth="10" defaultRowHeight="16" x14ac:dyDescent="0.2"/>
  <cols>
    <col min="1" max="1" width="14.5" customWidth="1"/>
    <col min="2" max="2" width="13" bestFit="1" customWidth="1"/>
    <col min="3" max="3" width="12.5" customWidth="1"/>
    <col min="4" max="4" width="13" bestFit="1" customWidth="1"/>
    <col min="5" max="5" width="12.6640625" customWidth="1"/>
    <col min="6" max="6" width="13" bestFit="1" customWidth="1"/>
  </cols>
  <sheetData>
    <row r="1" spans="1:6" x14ac:dyDescent="0.2">
      <c r="A1" s="18">
        <v>3396402</v>
      </c>
      <c r="B1" s="21" t="s">
        <v>16</v>
      </c>
      <c r="C1" s="21"/>
      <c r="D1" s="21" t="s">
        <v>15</v>
      </c>
      <c r="E1" s="21"/>
      <c r="F1" s="21" t="s">
        <v>17</v>
      </c>
    </row>
    <row r="2" spans="1:6" x14ac:dyDescent="0.2">
      <c r="B2" s="22"/>
      <c r="D2" s="22"/>
      <c r="E2" t="s">
        <v>18</v>
      </c>
      <c r="F2" s="22">
        <v>265043.90999999997</v>
      </c>
    </row>
    <row r="3" spans="1:6" x14ac:dyDescent="0.2">
      <c r="B3" s="22"/>
      <c r="C3" t="s">
        <v>18</v>
      </c>
      <c r="D3" s="22">
        <v>375646.76</v>
      </c>
      <c r="F3" s="5">
        <f>F2/$A$1</f>
        <v>7.8036672337373478E-2</v>
      </c>
    </row>
    <row r="4" spans="1:6" x14ac:dyDescent="0.2">
      <c r="A4" t="s">
        <v>18</v>
      </c>
      <c r="B4" s="22">
        <v>776187.97</v>
      </c>
      <c r="D4" s="5">
        <f>D3/$A$1</f>
        <v>0.11060138346403046</v>
      </c>
      <c r="E4" t="s">
        <v>19</v>
      </c>
      <c r="F4" s="22">
        <v>108532.04</v>
      </c>
    </row>
    <row r="5" spans="1:6" x14ac:dyDescent="0.2">
      <c r="B5" s="5">
        <f>B4/$A$1</f>
        <v>0.22853242048497202</v>
      </c>
      <c r="F5" s="5">
        <f>F4/$A$1</f>
        <v>3.1955004148507743E-2</v>
      </c>
    </row>
    <row r="6" spans="1:6" x14ac:dyDescent="0.2">
      <c r="B6" s="22"/>
      <c r="D6" s="22"/>
      <c r="E6" t="s">
        <v>18</v>
      </c>
      <c r="F6" s="22">
        <v>85765.759999999995</v>
      </c>
    </row>
    <row r="7" spans="1:6" x14ac:dyDescent="0.2">
      <c r="B7" s="22"/>
      <c r="C7" t="s">
        <v>19</v>
      </c>
      <c r="D7" s="22">
        <v>400541.21</v>
      </c>
      <c r="F7" s="5">
        <f>F6/$A$1</f>
        <v>2.5251946029945807E-2</v>
      </c>
    </row>
    <row r="8" spans="1:6" x14ac:dyDescent="0.2">
      <c r="B8" s="22"/>
      <c r="D8" s="5">
        <f>D7/$A$1</f>
        <v>0.11793103702094158</v>
      </c>
      <c r="E8" t="s">
        <v>19</v>
      </c>
      <c r="F8" s="22">
        <v>312453.49</v>
      </c>
    </row>
    <row r="9" spans="1:6" x14ac:dyDescent="0.2">
      <c r="F9" s="5">
        <f>F8/$A$1</f>
        <v>9.1995438113627301E-2</v>
      </c>
    </row>
    <row r="10" spans="1:6" x14ac:dyDescent="0.2">
      <c r="A10" s="20"/>
      <c r="B10" s="23"/>
      <c r="C10" s="20"/>
      <c r="D10" s="23"/>
      <c r="E10" s="20" t="s">
        <v>18</v>
      </c>
      <c r="F10" s="23">
        <v>176540.9</v>
      </c>
    </row>
    <row r="11" spans="1:6" x14ac:dyDescent="0.2">
      <c r="B11" s="24"/>
      <c r="C11" t="s">
        <v>18</v>
      </c>
      <c r="D11" s="24">
        <v>350781.46</v>
      </c>
      <c r="F11" s="5">
        <f>F10/$A$1</f>
        <v>5.1978799918266448E-2</v>
      </c>
    </row>
    <row r="12" spans="1:6" x14ac:dyDescent="0.2">
      <c r="A12" t="s">
        <v>19</v>
      </c>
      <c r="B12" s="24">
        <v>2620214.3199999998</v>
      </c>
      <c r="D12" s="5">
        <f>D11/$A$1</f>
        <v>0.10328031251895389</v>
      </c>
      <c r="E12" t="s">
        <v>19</v>
      </c>
      <c r="F12" s="22">
        <v>172546.51</v>
      </c>
    </row>
    <row r="13" spans="1:6" x14ac:dyDescent="0.2">
      <c r="B13" s="5">
        <f>B12/$A$1</f>
        <v>0.77146766489950247</v>
      </c>
      <c r="F13" s="5">
        <f>F12/$A$1</f>
        <v>5.0802734776389843E-2</v>
      </c>
    </row>
    <row r="14" spans="1:6" x14ac:dyDescent="0.2">
      <c r="B14" s="24"/>
      <c r="D14" s="24"/>
      <c r="E14" t="s">
        <v>18</v>
      </c>
      <c r="F14" s="22">
        <v>292414.84999999998</v>
      </c>
    </row>
    <row r="15" spans="1:6" x14ac:dyDescent="0.2">
      <c r="B15" s="24"/>
      <c r="C15" t="s">
        <v>19</v>
      </c>
      <c r="D15" s="24">
        <v>2266184.6</v>
      </c>
      <c r="F15" s="5">
        <f>F14/$A$1</f>
        <v>8.6095476919398811E-2</v>
      </c>
    </row>
    <row r="16" spans="1:6" x14ac:dyDescent="0.2">
      <c r="B16" s="22"/>
      <c r="D16" s="5">
        <f>D15/$A$1</f>
        <v>0.66723096971442131</v>
      </c>
      <c r="E16" t="s">
        <v>19</v>
      </c>
      <c r="F16" s="22">
        <v>1969211.11</v>
      </c>
    </row>
    <row r="17" spans="6:6" x14ac:dyDescent="0.2">
      <c r="F17" s="5">
        <f>F16/$A$1</f>
        <v>0.57979329596437645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3EF9-F12C-ED4F-B8E4-F14672D6A24A}">
  <dimension ref="A1:F18"/>
  <sheetViews>
    <sheetView workbookViewId="0">
      <selection activeCell="F12" sqref="F12"/>
    </sheetView>
  </sheetViews>
  <sheetFormatPr baseColWidth="10" defaultRowHeight="16" x14ac:dyDescent="0.2"/>
  <cols>
    <col min="2" max="2" width="13" bestFit="1" customWidth="1"/>
    <col min="4" max="4" width="13" bestFit="1" customWidth="1"/>
    <col min="6" max="6" width="13" bestFit="1" customWidth="1"/>
  </cols>
  <sheetData>
    <row r="1" spans="1:6" x14ac:dyDescent="0.2">
      <c r="A1" s="18">
        <v>3396402</v>
      </c>
      <c r="B1" s="21" t="s">
        <v>16</v>
      </c>
      <c r="C1" s="21"/>
      <c r="D1" s="21" t="s">
        <v>15</v>
      </c>
      <c r="E1" s="21"/>
      <c r="F1" s="21" t="s">
        <v>17</v>
      </c>
    </row>
    <row r="2" spans="1:6" x14ac:dyDescent="0.2">
      <c r="B2" s="25">
        <f>B6</f>
        <v>0.43280218007173471</v>
      </c>
      <c r="D2" s="25">
        <f>SUM(D5,D13)</f>
        <v>0.35201481155646475</v>
      </c>
      <c r="F2" s="25">
        <f>SUM(F4,F8,F12,F16)</f>
        <v>0.34926036435027419</v>
      </c>
    </row>
    <row r="3" spans="1:6" x14ac:dyDescent="0.2">
      <c r="B3" s="22"/>
      <c r="D3" s="22"/>
      <c r="E3" t="s">
        <v>20</v>
      </c>
      <c r="F3" s="22">
        <v>571347.31999999995</v>
      </c>
    </row>
    <row r="4" spans="1:6" x14ac:dyDescent="0.2">
      <c r="B4" s="22"/>
      <c r="C4" t="s">
        <v>20</v>
      </c>
      <c r="D4" s="22">
        <v>827916.85</v>
      </c>
      <c r="F4" s="5">
        <f>F3/$A$1</f>
        <v>0.16822134717857307</v>
      </c>
    </row>
    <row r="5" spans="1:6" x14ac:dyDescent="0.2">
      <c r="A5" t="s">
        <v>20</v>
      </c>
      <c r="B5" s="22">
        <v>1469970.19</v>
      </c>
      <c r="D5" s="5">
        <f>D4/$A$1</f>
        <v>0.24376291440176986</v>
      </c>
      <c r="E5" t="s">
        <v>21</v>
      </c>
      <c r="F5" s="22">
        <v>246626.4</v>
      </c>
    </row>
    <row r="6" spans="1:6" x14ac:dyDescent="0.2">
      <c r="B6" s="5">
        <f>B5/$A$1</f>
        <v>0.43280218007173471</v>
      </c>
      <c r="F6" s="5">
        <f>F5/$A$1</f>
        <v>7.2614019188541282E-2</v>
      </c>
    </row>
    <row r="7" spans="1:6" x14ac:dyDescent="0.2">
      <c r="B7" s="22"/>
      <c r="D7" s="22"/>
      <c r="E7" t="s">
        <v>20</v>
      </c>
      <c r="F7" s="22">
        <v>182312.95999999999</v>
      </c>
    </row>
    <row r="8" spans="1:6" x14ac:dyDescent="0.2">
      <c r="B8" s="22"/>
      <c r="C8" t="s">
        <v>21</v>
      </c>
      <c r="D8" s="22">
        <v>641877.22</v>
      </c>
      <c r="F8" s="5">
        <f>F7/$A$1</f>
        <v>5.3678263056022225E-2</v>
      </c>
    </row>
    <row r="9" spans="1:6" x14ac:dyDescent="0.2">
      <c r="B9" s="22"/>
      <c r="D9" s="5">
        <f>D8/$A$1</f>
        <v>0.18898741079530632</v>
      </c>
      <c r="E9" t="s">
        <v>21</v>
      </c>
      <c r="F9" s="22">
        <v>455967.99</v>
      </c>
    </row>
    <row r="10" spans="1:6" x14ac:dyDescent="0.2">
      <c r="F10" s="5">
        <f>F9/$A$1</f>
        <v>0.13425030075945074</v>
      </c>
    </row>
    <row r="11" spans="1:6" x14ac:dyDescent="0.2">
      <c r="A11" s="20"/>
      <c r="B11" s="23"/>
      <c r="C11" s="20"/>
      <c r="D11" s="23"/>
      <c r="E11" s="20" t="s">
        <v>20</v>
      </c>
      <c r="F11" s="23">
        <v>193499.73</v>
      </c>
    </row>
    <row r="12" spans="1:6" x14ac:dyDescent="0.2">
      <c r="B12" s="24"/>
      <c r="C12" t="s">
        <v>20</v>
      </c>
      <c r="D12" s="24">
        <v>367666.96</v>
      </c>
      <c r="F12" s="5">
        <f>F11/$A$1</f>
        <v>5.6971975048889976E-2</v>
      </c>
    </row>
    <row r="13" spans="1:6" x14ac:dyDescent="0.2">
      <c r="A13" t="s">
        <v>21</v>
      </c>
      <c r="B13" s="24">
        <v>1926432.1</v>
      </c>
      <c r="D13" s="5">
        <f>D12/$A$1</f>
        <v>0.10825189715469488</v>
      </c>
      <c r="E13" t="s">
        <v>21</v>
      </c>
      <c r="F13" s="22">
        <v>173991.11</v>
      </c>
    </row>
    <row r="14" spans="1:6" x14ac:dyDescent="0.2">
      <c r="B14" s="5">
        <f>B13/$A$1</f>
        <v>0.56719790531273984</v>
      </c>
      <c r="F14" s="5">
        <f>F13/$A$1</f>
        <v>5.1228067231146368E-2</v>
      </c>
    </row>
    <row r="15" spans="1:6" x14ac:dyDescent="0.2">
      <c r="B15" s="24"/>
      <c r="D15" s="24"/>
      <c r="E15" t="s">
        <v>20</v>
      </c>
      <c r="F15" s="22">
        <v>239068.59</v>
      </c>
    </row>
    <row r="16" spans="1:6" x14ac:dyDescent="0.2">
      <c r="B16" s="24"/>
      <c r="C16" t="s">
        <v>21</v>
      </c>
      <c r="D16" s="24">
        <v>1553155.21</v>
      </c>
      <c r="F16" s="5">
        <f>F15/$A$1</f>
        <v>7.0388779066788906E-2</v>
      </c>
    </row>
    <row r="17" spans="2:6" x14ac:dyDescent="0.2">
      <c r="B17" s="22"/>
      <c r="D17" s="5">
        <f>D16/$A$1</f>
        <v>0.45729428083012552</v>
      </c>
      <c r="E17" t="s">
        <v>21</v>
      </c>
      <c r="F17" s="22">
        <v>1311761.3600000001</v>
      </c>
    </row>
    <row r="18" spans="2:6" x14ac:dyDescent="0.2">
      <c r="F18" s="5">
        <f>F17/$A$1</f>
        <v>0.38622087726953408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Exclusive</vt:lpstr>
      <vt:lpstr>Any</vt:lpstr>
      <vt:lpstr>Depression</vt:lpstr>
      <vt:lpstr>Anxiety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Barnard-Mayers, Ruby</dc:creator>
  <cp:lastModifiedBy>Barnard-Mayers, Ruby</cp:lastModifiedBy>
  <dcterms:created xsi:type="dcterms:W3CDTF">2026-04-09T14:06:49Z</dcterms:created>
  <dcterms:modified xsi:type="dcterms:W3CDTF">2026-04-17T20:03:40Z</dcterms:modified>
</cp:coreProperties>
</file>